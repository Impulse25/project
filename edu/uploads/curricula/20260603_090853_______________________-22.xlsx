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Мой диск\ПВТ-9-22\"/>
    </mc:Choice>
  </mc:AlternateContent>
  <xr:revisionPtr revIDLastSave="0" documentId="13_ncr:1_{72368FA5-322C-4F0C-9E6D-21945C3D14A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график учебного процесса" sheetId="7" r:id="rId1"/>
    <sheet name="сводные данные" sheetId="8" r:id="rId2"/>
    <sheet name="учебный план" sheetId="2" r:id="rId3"/>
    <sheet name="учебный план, база 11 кл" sheetId="9" r:id="rId4"/>
  </sheets>
  <definedNames>
    <definedName name="_xlnm._FilterDatabase" localSheetId="2" hidden="1">'учебный план'!$B$5:$X$114</definedName>
    <definedName name="_xlnm._FilterDatabase" localSheetId="3" hidden="1">'учебный план, база 11 кл'!$B$5:$U$93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8" i="9" l="1"/>
  <c r="F97" i="9"/>
  <c r="F96" i="9"/>
  <c r="F95" i="9"/>
  <c r="F94" i="9"/>
  <c r="F93" i="9"/>
  <c r="F92" i="9"/>
  <c r="F91" i="9"/>
  <c r="F90" i="9"/>
  <c r="U89" i="9"/>
  <c r="U99" i="9" s="1"/>
  <c r="T89" i="9"/>
  <c r="T99" i="9" s="1"/>
  <c r="S89" i="9"/>
  <c r="S99" i="9" s="1"/>
  <c r="R89" i="9"/>
  <c r="R99" i="9" s="1"/>
  <c r="Q89" i="9"/>
  <c r="P89" i="9"/>
  <c r="I89" i="9"/>
  <c r="I99" i="9" s="1"/>
  <c r="H89" i="9"/>
  <c r="H99" i="9" s="1"/>
  <c r="G89" i="9"/>
  <c r="F89" i="9"/>
  <c r="F88" i="9"/>
  <c r="J86" i="9"/>
  <c r="F85" i="9"/>
  <c r="F84" i="9"/>
  <c r="F82" i="9"/>
  <c r="I81" i="9"/>
  <c r="F81" i="9"/>
  <c r="I80" i="9"/>
  <c r="F80" i="9"/>
  <c r="I79" i="9"/>
  <c r="F79" i="9"/>
  <c r="I78" i="9"/>
  <c r="I76" i="9" s="1"/>
  <c r="F78" i="9"/>
  <c r="F76" i="9" s="1"/>
  <c r="U76" i="9"/>
  <c r="T76" i="9"/>
  <c r="S76" i="9"/>
  <c r="R76" i="9"/>
  <c r="Q76" i="9"/>
  <c r="P76" i="9"/>
  <c r="N76" i="9"/>
  <c r="N86" i="9" s="1"/>
  <c r="M76" i="9"/>
  <c r="M86" i="9" s="1"/>
  <c r="J76" i="9"/>
  <c r="H76" i="9"/>
  <c r="G76" i="9"/>
  <c r="E76" i="9"/>
  <c r="D76" i="9"/>
  <c r="C76" i="9"/>
  <c r="C86" i="9" s="1"/>
  <c r="I75" i="9"/>
  <c r="F75" i="9"/>
  <c r="I74" i="9"/>
  <c r="F74" i="9"/>
  <c r="I73" i="9"/>
  <c r="F73" i="9"/>
  <c r="I72" i="9"/>
  <c r="I69" i="9" s="1"/>
  <c r="F72" i="9"/>
  <c r="F69" i="9" s="1"/>
  <c r="I71" i="9"/>
  <c r="F71" i="9"/>
  <c r="U69" i="9"/>
  <c r="T69" i="9"/>
  <c r="S69" i="9"/>
  <c r="S86" i="9" s="1"/>
  <c r="R69" i="9"/>
  <c r="R86" i="9" s="1"/>
  <c r="Q69" i="9"/>
  <c r="Q86" i="9" s="1"/>
  <c r="P69" i="9"/>
  <c r="P86" i="9" s="1"/>
  <c r="N69" i="9"/>
  <c r="M69" i="9"/>
  <c r="J69" i="9"/>
  <c r="H69" i="9"/>
  <c r="G69" i="9"/>
  <c r="E69" i="9"/>
  <c r="E86" i="9" s="1"/>
  <c r="D69" i="9"/>
  <c r="D86" i="9" s="1"/>
  <c r="C69" i="9"/>
  <c r="D68" i="9"/>
  <c r="F67" i="9"/>
  <c r="F66" i="9"/>
  <c r="F65" i="9"/>
  <c r="F64" i="9"/>
  <c r="F63" i="9"/>
  <c r="F61" i="9" s="1"/>
  <c r="U61" i="9"/>
  <c r="T61" i="9"/>
  <c r="S61" i="9"/>
  <c r="R61" i="9"/>
  <c r="Q61" i="9"/>
  <c r="P61" i="9"/>
  <c r="N61" i="9"/>
  <c r="M61" i="9"/>
  <c r="J61" i="9"/>
  <c r="I61" i="9"/>
  <c r="H61" i="9"/>
  <c r="G61" i="9"/>
  <c r="F60" i="9"/>
  <c r="I59" i="9"/>
  <c r="F59" i="9"/>
  <c r="F52" i="9" s="1"/>
  <c r="I58" i="9"/>
  <c r="I57" i="9"/>
  <c r="I52" i="9" s="1"/>
  <c r="I56" i="9"/>
  <c r="I55" i="9"/>
  <c r="F55" i="9"/>
  <c r="F54" i="9"/>
  <c r="U52" i="9"/>
  <c r="T52" i="9"/>
  <c r="S52" i="9"/>
  <c r="R52" i="9"/>
  <c r="Q52" i="9"/>
  <c r="P52" i="9"/>
  <c r="N52" i="9"/>
  <c r="M52" i="9"/>
  <c r="J52" i="9"/>
  <c r="H52" i="9"/>
  <c r="G52" i="9"/>
  <c r="E52" i="9"/>
  <c r="D52" i="9"/>
  <c r="C52" i="9"/>
  <c r="I51" i="9"/>
  <c r="F51" i="9"/>
  <c r="I50" i="9"/>
  <c r="F50" i="9"/>
  <c r="F47" i="9" s="1"/>
  <c r="I49" i="9"/>
  <c r="I47" i="9" s="1"/>
  <c r="F49" i="9"/>
  <c r="U47" i="9"/>
  <c r="T47" i="9"/>
  <c r="S47" i="9"/>
  <c r="R47" i="9"/>
  <c r="Q47" i="9"/>
  <c r="P47" i="9"/>
  <c r="N47" i="9"/>
  <c r="M47" i="9"/>
  <c r="J47" i="9"/>
  <c r="H47" i="9"/>
  <c r="G47" i="9"/>
  <c r="E47" i="9"/>
  <c r="D47" i="9"/>
  <c r="C47" i="9"/>
  <c r="I46" i="9"/>
  <c r="F46" i="9"/>
  <c r="I45" i="9"/>
  <c r="F45" i="9"/>
  <c r="I44" i="9"/>
  <c r="F44" i="9"/>
  <c r="F41" i="9" s="1"/>
  <c r="I43" i="9"/>
  <c r="I41" i="9" s="1"/>
  <c r="F43" i="9"/>
  <c r="U41" i="9"/>
  <c r="T41" i="9"/>
  <c r="S41" i="9"/>
  <c r="R41" i="9"/>
  <c r="Q41" i="9"/>
  <c r="Q68" i="9" s="1"/>
  <c r="P41" i="9"/>
  <c r="P68" i="9" s="1"/>
  <c r="N41" i="9"/>
  <c r="N68" i="9" s="1"/>
  <c r="M41" i="9"/>
  <c r="M68" i="9" s="1"/>
  <c r="J41" i="9"/>
  <c r="J68" i="9" s="1"/>
  <c r="H41" i="9"/>
  <c r="H68" i="9" s="1"/>
  <c r="G41" i="9"/>
  <c r="E41" i="9"/>
  <c r="E68" i="9" s="1"/>
  <c r="D41" i="9"/>
  <c r="C41" i="9"/>
  <c r="I38" i="9"/>
  <c r="I37" i="9"/>
  <c r="F37" i="9"/>
  <c r="F36" i="9"/>
  <c r="F34" i="9" s="1"/>
  <c r="U34" i="9"/>
  <c r="T34" i="9"/>
  <c r="S34" i="9"/>
  <c r="R34" i="9"/>
  <c r="Q34" i="9"/>
  <c r="P34" i="9"/>
  <c r="N34" i="9"/>
  <c r="M34" i="9"/>
  <c r="J34" i="9"/>
  <c r="I34" i="9"/>
  <c r="H34" i="9"/>
  <c r="G34" i="9"/>
  <c r="E34" i="9"/>
  <c r="D34" i="9"/>
  <c r="C34" i="9"/>
  <c r="I33" i="9"/>
  <c r="F33" i="9"/>
  <c r="I32" i="9"/>
  <c r="F32" i="9"/>
  <c r="U30" i="9"/>
  <c r="T30" i="9"/>
  <c r="S30" i="9"/>
  <c r="R30" i="9"/>
  <c r="Q30" i="9"/>
  <c r="G30" i="9"/>
  <c r="F29" i="9"/>
  <c r="I28" i="9"/>
  <c r="F28" i="9"/>
  <c r="I27" i="9"/>
  <c r="I21" i="9" s="1"/>
  <c r="F27" i="9"/>
  <c r="F26" i="9"/>
  <c r="F25" i="9"/>
  <c r="F24" i="9"/>
  <c r="F23" i="9"/>
  <c r="U21" i="9"/>
  <c r="T21" i="9"/>
  <c r="S21" i="9"/>
  <c r="R21" i="9"/>
  <c r="R40" i="9" s="1"/>
  <c r="R68" i="9" s="1"/>
  <c r="R7" i="9" s="1"/>
  <c r="Q21" i="9"/>
  <c r="Q40" i="9" s="1"/>
  <c r="P21" i="9"/>
  <c r="N21" i="9"/>
  <c r="M21" i="9"/>
  <c r="J21" i="9"/>
  <c r="H21" i="9"/>
  <c r="G21" i="9"/>
  <c r="F21" i="9"/>
  <c r="E21" i="9"/>
  <c r="D21" i="9"/>
  <c r="C21" i="9"/>
  <c r="I20" i="9"/>
  <c r="F20" i="9"/>
  <c r="I19" i="9"/>
  <c r="F19" i="9"/>
  <c r="I18" i="9"/>
  <c r="I14" i="9" s="1"/>
  <c r="F18" i="9"/>
  <c r="I17" i="9"/>
  <c r="F17" i="9"/>
  <c r="I16" i="9"/>
  <c r="F16" i="9"/>
  <c r="F14" i="9" s="1"/>
  <c r="U14" i="9"/>
  <c r="T14" i="9"/>
  <c r="S14" i="9"/>
  <c r="S40" i="9" s="1"/>
  <c r="S68" i="9" s="1"/>
  <c r="S7" i="9" s="1"/>
  <c r="R14" i="9"/>
  <c r="Q14" i="9"/>
  <c r="P14" i="9"/>
  <c r="N14" i="9"/>
  <c r="M14" i="9"/>
  <c r="J14" i="9"/>
  <c r="H14" i="9"/>
  <c r="G14" i="9"/>
  <c r="E14" i="9"/>
  <c r="D14" i="9"/>
  <c r="C14" i="9"/>
  <c r="I13" i="9"/>
  <c r="I11" i="9" s="1"/>
  <c r="F13" i="9"/>
  <c r="F11" i="9" s="1"/>
  <c r="U11" i="9"/>
  <c r="T11" i="9"/>
  <c r="T40" i="9" s="1"/>
  <c r="T68" i="9" s="1"/>
  <c r="S11" i="9"/>
  <c r="R11" i="9"/>
  <c r="Q11" i="9"/>
  <c r="P11" i="9"/>
  <c r="N11" i="9"/>
  <c r="M11" i="9"/>
  <c r="J11" i="9"/>
  <c r="H11" i="9"/>
  <c r="G11" i="9"/>
  <c r="E11" i="9"/>
  <c r="D11" i="9"/>
  <c r="C11" i="9"/>
  <c r="U8" i="9"/>
  <c r="U40" i="9" s="1"/>
  <c r="U68" i="9" s="1"/>
  <c r="U86" i="9" s="1"/>
  <c r="U7" i="9" s="1"/>
  <c r="N8" i="9"/>
  <c r="M8" i="9"/>
  <c r="J8" i="9"/>
  <c r="H8" i="9"/>
  <c r="E8" i="9"/>
  <c r="D8" i="9"/>
  <c r="C8" i="9"/>
  <c r="J47" i="2"/>
  <c r="K13" i="8"/>
  <c r="J13" i="8"/>
  <c r="I13" i="8"/>
  <c r="H13" i="8"/>
  <c r="G13" i="8"/>
  <c r="F13" i="8"/>
  <c r="E13" i="8"/>
  <c r="C13" i="8"/>
  <c r="B13" i="8"/>
  <c r="D11" i="8"/>
  <c r="D9" i="8"/>
  <c r="D7" i="8"/>
  <c r="D5" i="8"/>
  <c r="T86" i="9" l="1"/>
  <c r="T7" i="9" s="1"/>
  <c r="H86" i="9"/>
  <c r="C68" i="9"/>
  <c r="F86" i="9"/>
  <c r="Q7" i="9"/>
  <c r="Q87" i="9"/>
  <c r="Q99" i="9" s="1"/>
  <c r="G40" i="9"/>
  <c r="G87" i="9" s="1"/>
  <c r="G99" i="9" s="1"/>
  <c r="I68" i="9"/>
  <c r="I86" i="9"/>
  <c r="F40" i="9"/>
  <c r="F68" i="9"/>
  <c r="D13" i="8"/>
  <c r="H48" i="2"/>
  <c r="F87" i="9" l="1"/>
  <c r="F99" i="9" s="1"/>
  <c r="G19" i="2"/>
  <c r="G20" i="2"/>
  <c r="G119" i="2" l="1"/>
  <c r="G118" i="2"/>
  <c r="G117" i="2"/>
  <c r="G116" i="2"/>
  <c r="G115" i="2"/>
  <c r="G114" i="2"/>
  <c r="G113" i="2"/>
  <c r="G112" i="2"/>
  <c r="G111" i="2"/>
  <c r="G110" i="2"/>
  <c r="G109" i="2"/>
  <c r="O32" i="2" l="1"/>
  <c r="Q32" i="2"/>
  <c r="R32" i="2"/>
  <c r="S32" i="2"/>
  <c r="T32" i="2"/>
  <c r="U32" i="2"/>
  <c r="V32" i="2"/>
  <c r="W32" i="2"/>
  <c r="X32" i="2"/>
  <c r="K32" i="2"/>
  <c r="N32" i="2"/>
  <c r="I32" i="2"/>
  <c r="H32" i="2"/>
  <c r="E32" i="2"/>
  <c r="D32" i="2"/>
  <c r="R94" i="2" l="1"/>
  <c r="S94" i="2"/>
  <c r="T94" i="2"/>
  <c r="U94" i="2"/>
  <c r="V94" i="2"/>
  <c r="W94" i="2"/>
  <c r="X94" i="2"/>
  <c r="Q94" i="2"/>
  <c r="I94" i="2"/>
  <c r="K94" i="2"/>
  <c r="N94" i="2"/>
  <c r="O94" i="2"/>
  <c r="H94" i="2"/>
  <c r="G72" i="2"/>
  <c r="W70" i="2"/>
  <c r="V70" i="2"/>
  <c r="O70" i="2"/>
  <c r="N70" i="2"/>
  <c r="I70" i="2"/>
  <c r="T52" i="2"/>
  <c r="U52" i="2"/>
  <c r="V52" i="2"/>
  <c r="W52" i="2"/>
  <c r="X52" i="2"/>
  <c r="S52" i="2"/>
  <c r="O52" i="2"/>
  <c r="Q52" i="2"/>
  <c r="R52" i="2"/>
  <c r="N52" i="2"/>
  <c r="I52" i="2"/>
  <c r="H52" i="2"/>
  <c r="T39" i="2"/>
  <c r="S39" i="2"/>
  <c r="N39" i="2"/>
  <c r="I39" i="2"/>
  <c r="H39" i="2"/>
  <c r="G100" i="2"/>
  <c r="G78" i="2"/>
  <c r="J77" i="2"/>
  <c r="G77" i="2"/>
  <c r="G41" i="2"/>
  <c r="J35" i="2"/>
  <c r="G35" i="2"/>
  <c r="J34" i="2"/>
  <c r="G34" i="2"/>
  <c r="G54" i="2"/>
  <c r="J56" i="2"/>
  <c r="J55" i="2"/>
  <c r="G55" i="2"/>
  <c r="G47" i="2"/>
  <c r="J46" i="2"/>
  <c r="G46" i="2"/>
  <c r="J45" i="2"/>
  <c r="G45" i="2"/>
  <c r="G44" i="2"/>
  <c r="G43" i="2"/>
  <c r="G42" i="2"/>
  <c r="G52" i="2" l="1"/>
  <c r="G39" i="2"/>
  <c r="J52" i="2"/>
  <c r="J39" i="2"/>
  <c r="J31" i="2"/>
  <c r="J29" i="2" s="1"/>
  <c r="G31" i="2"/>
  <c r="G29" i="2" s="1"/>
  <c r="X29" i="2"/>
  <c r="W29" i="2"/>
  <c r="V29" i="2"/>
  <c r="U29" i="2"/>
  <c r="T29" i="2"/>
  <c r="S29" i="2"/>
  <c r="R29" i="2"/>
  <c r="Q29" i="2"/>
  <c r="O29" i="2"/>
  <c r="N29" i="2"/>
  <c r="K29" i="2"/>
  <c r="I29" i="2"/>
  <c r="H29" i="2"/>
  <c r="F29" i="2"/>
  <c r="E29" i="2"/>
  <c r="D29" i="2"/>
  <c r="C29" i="2"/>
  <c r="Q25" i="2" l="1"/>
  <c r="J25" i="2"/>
  <c r="I25" i="2"/>
  <c r="G85" i="2"/>
  <c r="H70" i="2" l="1"/>
  <c r="I87" i="2" l="1"/>
  <c r="I104" i="2" s="1"/>
  <c r="I79" i="2"/>
  <c r="N65" i="2"/>
  <c r="I65" i="2"/>
  <c r="N59" i="2"/>
  <c r="I59" i="2"/>
  <c r="G106" i="2"/>
  <c r="R7" i="2"/>
  <c r="Q7" i="2"/>
  <c r="R25" i="2"/>
  <c r="H25" i="2"/>
  <c r="I86" i="2" l="1"/>
  <c r="F32" i="2"/>
  <c r="C32" i="2"/>
  <c r="J38" i="2"/>
  <c r="G38" i="2"/>
  <c r="H87" i="2" l="1"/>
  <c r="H65" i="2"/>
  <c r="J37" i="2" l="1"/>
  <c r="J36" i="2"/>
  <c r="F25" i="2"/>
  <c r="E25" i="2"/>
  <c r="D25" i="2"/>
  <c r="C25" i="2"/>
  <c r="J32" i="2" l="1"/>
  <c r="X107" i="2"/>
  <c r="W107" i="2"/>
  <c r="V107" i="2"/>
  <c r="U107" i="2"/>
  <c r="T107" i="2"/>
  <c r="S107" i="2"/>
  <c r="R107" i="2"/>
  <c r="J107" i="2" l="1"/>
  <c r="I107" i="2"/>
  <c r="H107" i="2"/>
  <c r="Q107" i="2"/>
  <c r="G103" i="2"/>
  <c r="G102" i="2"/>
  <c r="J99" i="2"/>
  <c r="J98" i="2"/>
  <c r="J97" i="2"/>
  <c r="J96" i="2"/>
  <c r="F94" i="2"/>
  <c r="E94" i="2"/>
  <c r="D94" i="2"/>
  <c r="C94" i="2"/>
  <c r="F87" i="2"/>
  <c r="E87" i="2"/>
  <c r="D87" i="2"/>
  <c r="C87" i="2"/>
  <c r="J93" i="2"/>
  <c r="J92" i="2"/>
  <c r="J91" i="2"/>
  <c r="J90" i="2"/>
  <c r="J89" i="2"/>
  <c r="J76" i="2"/>
  <c r="J75" i="2"/>
  <c r="J74" i="2"/>
  <c r="J73" i="2"/>
  <c r="J69" i="2"/>
  <c r="J68" i="2"/>
  <c r="J67" i="2"/>
  <c r="F70" i="2"/>
  <c r="E70" i="2"/>
  <c r="D70" i="2"/>
  <c r="C70" i="2"/>
  <c r="F52" i="2"/>
  <c r="E52" i="2"/>
  <c r="D52" i="2"/>
  <c r="C52" i="2"/>
  <c r="G67" i="2"/>
  <c r="F65" i="2"/>
  <c r="E65" i="2"/>
  <c r="D65" i="2"/>
  <c r="C65" i="2"/>
  <c r="X65" i="2"/>
  <c r="W65" i="2"/>
  <c r="V65" i="2"/>
  <c r="U65" i="2"/>
  <c r="T65" i="2"/>
  <c r="S65" i="2"/>
  <c r="R65" i="2"/>
  <c r="Q65" i="2"/>
  <c r="O65" i="2"/>
  <c r="K65" i="2"/>
  <c r="D59" i="2"/>
  <c r="F59" i="2"/>
  <c r="E59" i="2"/>
  <c r="C59" i="2"/>
  <c r="J64" i="2"/>
  <c r="J63" i="2"/>
  <c r="J62" i="2"/>
  <c r="J61" i="2"/>
  <c r="J50" i="2"/>
  <c r="J51" i="2"/>
  <c r="F39" i="2"/>
  <c r="E39" i="2"/>
  <c r="D39" i="2"/>
  <c r="C39" i="2"/>
  <c r="F26" i="2"/>
  <c r="E26" i="2"/>
  <c r="D26" i="2"/>
  <c r="C26" i="2"/>
  <c r="X26" i="2"/>
  <c r="R26" i="2"/>
  <c r="Q26" i="2"/>
  <c r="O26" i="2"/>
  <c r="N26" i="2"/>
  <c r="U70" i="2"/>
  <c r="T70" i="2"/>
  <c r="S70" i="2"/>
  <c r="R70" i="2"/>
  <c r="Q70" i="2"/>
  <c r="K70" i="2"/>
  <c r="X70" i="2"/>
  <c r="D86" i="2" l="1"/>
  <c r="F86" i="2"/>
  <c r="C104" i="2"/>
  <c r="D104" i="2"/>
  <c r="E104" i="2"/>
  <c r="C86" i="2"/>
  <c r="F104" i="2"/>
  <c r="E86" i="2"/>
  <c r="J94" i="2"/>
  <c r="G107" i="2"/>
  <c r="J59" i="2"/>
  <c r="J70" i="2"/>
  <c r="J87" i="2"/>
  <c r="J65" i="2"/>
  <c r="J104" i="2" l="1"/>
  <c r="X87" i="2"/>
  <c r="W87" i="2"/>
  <c r="V87" i="2"/>
  <c r="V104" i="2" s="1"/>
  <c r="U87" i="2"/>
  <c r="U104" i="2" s="1"/>
  <c r="T87" i="2"/>
  <c r="T104" i="2" s="1"/>
  <c r="S87" i="2"/>
  <c r="S104" i="2" s="1"/>
  <c r="R87" i="2"/>
  <c r="R104" i="2" s="1"/>
  <c r="Q87" i="2"/>
  <c r="Q104" i="2" s="1"/>
  <c r="O87" i="2"/>
  <c r="O104" i="2" s="1"/>
  <c r="N87" i="2"/>
  <c r="N104" i="2" s="1"/>
  <c r="K87" i="2"/>
  <c r="K104" i="2" s="1"/>
  <c r="X79" i="2"/>
  <c r="W79" i="2"/>
  <c r="V79" i="2"/>
  <c r="U79" i="2"/>
  <c r="T79" i="2"/>
  <c r="S79" i="2"/>
  <c r="R79" i="2"/>
  <c r="Q79" i="2"/>
  <c r="O79" i="2"/>
  <c r="N79" i="2"/>
  <c r="K79" i="2"/>
  <c r="J79" i="2"/>
  <c r="H79" i="2"/>
  <c r="K52" i="2"/>
  <c r="X59" i="2"/>
  <c r="W59" i="2"/>
  <c r="V59" i="2"/>
  <c r="U59" i="2"/>
  <c r="T59" i="2"/>
  <c r="S59" i="2"/>
  <c r="R59" i="2"/>
  <c r="O59" i="2"/>
  <c r="K59" i="2"/>
  <c r="H59" i="2"/>
  <c r="X48" i="2"/>
  <c r="W48" i="2"/>
  <c r="V48" i="2"/>
  <c r="U48" i="2"/>
  <c r="T48" i="2"/>
  <c r="T58" i="2" s="1"/>
  <c r="X39" i="2"/>
  <c r="W39" i="2"/>
  <c r="V39" i="2"/>
  <c r="U39" i="2"/>
  <c r="R39" i="2"/>
  <c r="Q39" i="2"/>
  <c r="O39" i="2"/>
  <c r="K39" i="2"/>
  <c r="I26" i="2"/>
  <c r="K26" i="2"/>
  <c r="X58" i="2" l="1"/>
  <c r="X86" i="2" s="1"/>
  <c r="V58" i="2"/>
  <c r="V86" i="2" s="1"/>
  <c r="V7" i="2" s="1"/>
  <c r="O86" i="2"/>
  <c r="W58" i="2"/>
  <c r="W86" i="2" s="1"/>
  <c r="W104" i="2" s="1"/>
  <c r="N86" i="2"/>
  <c r="T7" i="2"/>
  <c r="K86" i="2"/>
  <c r="S86" i="2"/>
  <c r="T86" i="2"/>
  <c r="R86" i="2"/>
  <c r="J86" i="2"/>
  <c r="U58" i="2"/>
  <c r="Q59" i="2"/>
  <c r="Q86" i="2" s="1"/>
  <c r="G99" i="2"/>
  <c r="G89" i="2"/>
  <c r="U86" i="2" l="1"/>
  <c r="U7" i="2" s="1"/>
  <c r="T105" i="2"/>
  <c r="T120" i="2" s="1"/>
  <c r="X104" i="2"/>
  <c r="X7" i="2" s="1"/>
  <c r="X120" i="2"/>
  <c r="W7" i="2"/>
  <c r="U120" i="2"/>
  <c r="V120" i="2"/>
  <c r="G97" i="2"/>
  <c r="G98" i="2"/>
  <c r="G96" i="2"/>
  <c r="G90" i="2"/>
  <c r="G91" i="2"/>
  <c r="G92" i="2"/>
  <c r="G93" i="2"/>
  <c r="G37" i="2"/>
  <c r="G36" i="2"/>
  <c r="G82" i="2"/>
  <c r="G83" i="2"/>
  <c r="G84" i="2"/>
  <c r="G81" i="2"/>
  <c r="G73" i="2"/>
  <c r="G69" i="2"/>
  <c r="G68" i="2"/>
  <c r="G62" i="2"/>
  <c r="G63" i="2"/>
  <c r="G64" i="2"/>
  <c r="G61" i="2"/>
  <c r="G51" i="2"/>
  <c r="G50" i="2"/>
  <c r="G10" i="2"/>
  <c r="G11" i="2"/>
  <c r="G12" i="2"/>
  <c r="G13" i="2"/>
  <c r="G23" i="2"/>
  <c r="G14" i="2"/>
  <c r="G15" i="2"/>
  <c r="G22" i="2"/>
  <c r="G16" i="2"/>
  <c r="G17" i="2"/>
  <c r="G24" i="2"/>
  <c r="G9" i="2"/>
  <c r="G94" i="2" l="1"/>
  <c r="G32" i="2"/>
  <c r="G58" i="2" s="1"/>
  <c r="W120" i="2"/>
  <c r="G65" i="2"/>
  <c r="G25" i="2"/>
  <c r="G70" i="2"/>
  <c r="G87" i="2"/>
  <c r="G79" i="2"/>
  <c r="G59" i="2"/>
  <c r="G104" i="2" l="1"/>
  <c r="G86" i="2"/>
  <c r="H58" i="2"/>
  <c r="H105" i="2" s="1"/>
  <c r="H120" i="2" s="1"/>
  <c r="G105" i="2" l="1"/>
  <c r="G120" i="2" s="1"/>
  <c r="I120" i="2" l="1"/>
  <c r="J120" i="2"/>
  <c r="C120" i="2"/>
  <c r="C105" i="2"/>
  <c r="C58" i="2"/>
  <c r="C48" i="2"/>
  <c r="E99" i="9"/>
  <c r="E87" i="9"/>
  <c r="E40" i="9"/>
  <c r="E30" i="9"/>
  <c r="M99" i="9"/>
  <c r="M87" i="9"/>
  <c r="C99" i="9"/>
  <c r="C87" i="9"/>
  <c r="C40" i="9"/>
  <c r="C30" i="9"/>
  <c r="S120" i="2"/>
  <c r="S105" i="2"/>
  <c r="R120" i="2"/>
  <c r="R105" i="2"/>
  <c r="R58" i="2"/>
  <c r="R48" i="2"/>
  <c r="K120" i="2"/>
  <c r="K105" i="2"/>
  <c r="J58" i="2"/>
  <c r="J48" i="2"/>
  <c r="H30" i="9"/>
  <c r="H40" i="9"/>
  <c r="I30" i="9"/>
  <c r="I40" i="9"/>
  <c r="J99" i="9"/>
  <c r="J87" i="9"/>
  <c r="K48" i="2"/>
  <c r="K58" i="2"/>
  <c r="O120" i="2"/>
  <c r="O105" i="2"/>
  <c r="S48" i="2"/>
  <c r="S58" i="2"/>
  <c r="S7" i="2"/>
  <c r="J30" i="9"/>
  <c r="J40" i="9"/>
  <c r="E120" i="2"/>
  <c r="E105" i="2"/>
  <c r="E58" i="2"/>
  <c r="E48" i="2"/>
  <c r="P99" i="9"/>
  <c r="P87" i="9"/>
  <c r="D48" i="2"/>
  <c r="D58" i="2"/>
  <c r="D105" i="2"/>
  <c r="D120" i="2"/>
  <c r="Q48" i="2"/>
  <c r="Q58" i="2"/>
  <c r="Q105" i="2"/>
  <c r="Q120" i="2"/>
  <c r="N40" i="9"/>
  <c r="N120" i="2"/>
  <c r="N105" i="2"/>
  <c r="I48" i="2"/>
  <c r="I58" i="2"/>
  <c r="P30" i="9"/>
  <c r="P40" i="9"/>
  <c r="P7" i="9"/>
  <c r="N48" i="2"/>
  <c r="N58" i="2"/>
  <c r="O48" i="2"/>
  <c r="O58" i="2"/>
  <c r="M30" i="9"/>
  <c r="M40" i="9"/>
  <c r="F48" i="2"/>
  <c r="F58" i="2"/>
  <c r="F105" i="2"/>
  <c r="F120" i="2"/>
  <c r="N30" i="9"/>
  <c r="N87" i="9"/>
  <c r="N99" i="9"/>
  <c r="D30" i="9"/>
  <c r="D40" i="9"/>
  <c r="D87" i="9"/>
  <c r="D99" i="9"/>
</calcChain>
</file>

<file path=xl/sharedStrings.xml><?xml version="1.0" encoding="utf-8"?>
<sst xmlns="http://schemas.openxmlformats.org/spreadsheetml/2006/main" count="656" uniqueCount="304">
  <si>
    <t>Курсы</t>
  </si>
  <si>
    <t>сентябрь</t>
  </si>
  <si>
    <t>октябрь</t>
  </si>
  <si>
    <t>ноябрь</t>
  </si>
  <si>
    <t>декабрь</t>
  </si>
  <si>
    <t>январь</t>
  </si>
  <si>
    <t>февраль</t>
  </si>
  <si>
    <t>март</t>
  </si>
  <si>
    <t>май</t>
  </si>
  <si>
    <t>июнь</t>
  </si>
  <si>
    <t>июль</t>
  </si>
  <si>
    <t>август</t>
  </si>
  <si>
    <t>I</t>
  </si>
  <si>
    <t>II</t>
  </si>
  <si>
    <t>III</t>
  </si>
  <si>
    <t>IV</t>
  </si>
  <si>
    <t>ВСЕГО</t>
  </si>
  <si>
    <t>1 курс</t>
  </si>
  <si>
    <t>2 курс</t>
  </si>
  <si>
    <t>3 курс</t>
  </si>
  <si>
    <t>4 курс</t>
  </si>
  <si>
    <t>Иностранный язык</t>
  </si>
  <si>
    <t>История Казахстана</t>
  </si>
  <si>
    <t>итого в неделю</t>
  </si>
  <si>
    <t xml:space="preserve">итоговая аттестация </t>
  </si>
  <si>
    <t xml:space="preserve">количество учебных недель </t>
  </si>
  <si>
    <t>каникулы</t>
  </si>
  <si>
    <t>Промежуточная аттестация</t>
  </si>
  <si>
    <t>ИТОГО</t>
  </si>
  <si>
    <t>ИА</t>
  </si>
  <si>
    <t>Общеобразовательные модули</t>
  </si>
  <si>
    <t>К</t>
  </si>
  <si>
    <t>апрель</t>
  </si>
  <si>
    <t>Развитие и совершенствование 
физических качеств</t>
  </si>
  <si>
    <t>Итоговая аттестация</t>
  </si>
  <si>
    <t xml:space="preserve"> </t>
  </si>
  <si>
    <t>Преддипломная практика</t>
  </si>
  <si>
    <t>Итого на обязательное обучение</t>
  </si>
  <si>
    <t xml:space="preserve">индекс </t>
  </si>
  <si>
    <t xml:space="preserve">контрольная работа </t>
  </si>
  <si>
    <t xml:space="preserve">Распределение часов по  семестрам </t>
  </si>
  <si>
    <t>География</t>
  </si>
  <si>
    <t>Математика</t>
  </si>
  <si>
    <t>Информатика</t>
  </si>
  <si>
    <t>Химия</t>
  </si>
  <si>
    <t>Русский язык</t>
  </si>
  <si>
    <t xml:space="preserve">Русская  литература </t>
  </si>
  <si>
    <t>Физика</t>
  </si>
  <si>
    <t>Биология</t>
  </si>
  <si>
    <t>ООД 10</t>
  </si>
  <si>
    <t>ООД 11</t>
  </si>
  <si>
    <t>ООД 12</t>
  </si>
  <si>
    <t>ООД 13</t>
  </si>
  <si>
    <t>зачет(семестр)</t>
  </si>
  <si>
    <t xml:space="preserve">охрана труда </t>
  </si>
  <si>
    <t xml:space="preserve">основы права </t>
  </si>
  <si>
    <t xml:space="preserve">культурология </t>
  </si>
  <si>
    <t xml:space="preserve">основы политологии и социологии </t>
  </si>
  <si>
    <t>основы философии</t>
  </si>
  <si>
    <t>Применение основ социальных наук для социализации и адаптации в обществе и трудовом коллективе, а также понимание современной экономической системы</t>
  </si>
  <si>
    <t>ДП</t>
  </si>
  <si>
    <t>Дипломное проектирование</t>
  </si>
  <si>
    <t>Программное обеспечение компьютерной техники</t>
  </si>
  <si>
    <t>стандартизация, метрология и сертификация</t>
  </si>
  <si>
    <t>экономика и управление производством</t>
  </si>
  <si>
    <t xml:space="preserve">Проектирование и технология разработки программного обеспечения </t>
  </si>
  <si>
    <t>Микропроцессорная техника</t>
  </si>
  <si>
    <t>ПА</t>
  </si>
  <si>
    <t>Пдн</t>
  </si>
  <si>
    <t xml:space="preserve">условные обозначения </t>
  </si>
  <si>
    <t>ООД</t>
  </si>
  <si>
    <t xml:space="preserve">праздничные дни </t>
  </si>
  <si>
    <t xml:space="preserve">промежуточная аттестация </t>
  </si>
  <si>
    <t xml:space="preserve">ДП </t>
  </si>
  <si>
    <t>дипломное проектирование</t>
  </si>
  <si>
    <t>1 семестр 18 недель</t>
  </si>
  <si>
    <t>2 семестр 20 недель</t>
  </si>
  <si>
    <t xml:space="preserve">Форма контроля </t>
  </si>
  <si>
    <t>Алгоритмизация и программирование</t>
  </si>
  <si>
    <t>Объектно-ориентированное программирование</t>
  </si>
  <si>
    <t>Тестирование ПО</t>
  </si>
  <si>
    <t>экзамен (семестр)</t>
  </si>
  <si>
    <t>курсовой проект</t>
  </si>
  <si>
    <t>Лабораторно-практические работы</t>
  </si>
  <si>
    <t>Производственное обучение</t>
  </si>
  <si>
    <t>Профессиональная практика</t>
  </si>
  <si>
    <t>Курсовые проекты</t>
  </si>
  <si>
    <t>Основы экономики</t>
  </si>
  <si>
    <t>Физическое воспитание</t>
  </si>
  <si>
    <t xml:space="preserve">Ознакомительная практика </t>
  </si>
  <si>
    <t>Казахский язык и литература</t>
  </si>
  <si>
    <t xml:space="preserve">Физическая культура </t>
  </si>
  <si>
    <t>Основы высшей и дискретной математики</t>
  </si>
  <si>
    <t>Математическая статистика</t>
  </si>
  <si>
    <t>Численные методы</t>
  </si>
  <si>
    <t>Программирование в офисных приложениях</t>
  </si>
  <si>
    <t>Начальная военная и технологическая подготовка</t>
  </si>
  <si>
    <t>Консультации не более 100 часов  на учебную группу на учебный год</t>
  </si>
  <si>
    <t xml:space="preserve">Факультативные занятия не более  4 часов в неделю: из них </t>
  </si>
  <si>
    <t>Методы разработки прикладных решений на основе платформы 1С</t>
  </si>
  <si>
    <t>Применение информационно-коммуникационных и цифровых технологий</t>
  </si>
  <si>
    <t>Информационно-коммуникационные технологии в проф. деятельности</t>
  </si>
  <si>
    <t>Инструментальные средства разработки программ</t>
  </si>
  <si>
    <t>Проектирование программного обеспечения</t>
  </si>
  <si>
    <t>Составление алгоритма и создание блок-схемы на основе спецификации программного обеспечения</t>
  </si>
  <si>
    <t>Программирование модулей программного обеспечения</t>
  </si>
  <si>
    <t xml:space="preserve">Прикладное программрование </t>
  </si>
  <si>
    <t xml:space="preserve">Системное программирование </t>
  </si>
  <si>
    <t>Документирование и сертификация</t>
  </si>
  <si>
    <t xml:space="preserve">Рефакторинг и отладка кода </t>
  </si>
  <si>
    <t>Организация обработки больших данных</t>
  </si>
  <si>
    <t>Компьютерные сети и системы</t>
  </si>
  <si>
    <t>Технология разработки и защиты баз данных</t>
  </si>
  <si>
    <t>Программирование цифровых устройств на базе микроконтроллеров</t>
  </si>
  <si>
    <t xml:space="preserve">Цифровая техника </t>
  </si>
  <si>
    <t>Программирование микроконтроллеров</t>
  </si>
  <si>
    <t>Проектирование роботехнических устройств</t>
  </si>
  <si>
    <t>Разработка мобильных приложений</t>
  </si>
  <si>
    <t>Программирование виртуальной реальности</t>
  </si>
  <si>
    <t xml:space="preserve">Тестирование мобильных приложений </t>
  </si>
  <si>
    <t xml:space="preserve">Компьютерная графика </t>
  </si>
  <si>
    <t>Эксплуатация и обслуживание КТ</t>
  </si>
  <si>
    <t xml:space="preserve">Моделирование производственных и экономических процессов </t>
  </si>
  <si>
    <t>Теоретическое обучение</t>
  </si>
  <si>
    <t>3 семестр 22 недель</t>
  </si>
  <si>
    <t>4 семестр 16 недель</t>
  </si>
  <si>
    <t>5 семестр 22 недель</t>
  </si>
  <si>
    <t>6 семестр 16 недель</t>
  </si>
  <si>
    <t>7 семестр 22 недель</t>
  </si>
  <si>
    <t xml:space="preserve">8 семестр 10 недель </t>
  </si>
  <si>
    <t xml:space="preserve">Облачные вычисления </t>
  </si>
  <si>
    <t>Методы защиты информации</t>
  </si>
  <si>
    <t>Составление деловых бумаг на гос.языке</t>
  </si>
  <si>
    <t xml:space="preserve">Основы предпринимательства </t>
  </si>
  <si>
    <t>Робототехника и 3D моделирование</t>
  </si>
  <si>
    <t>ИТОГО 2 КУРС:</t>
  </si>
  <si>
    <t>ИТОГО 3 КУРС:</t>
  </si>
  <si>
    <t>ИТОГО 1 КУРС: ООД</t>
  </si>
  <si>
    <t>3D графика в Blender</t>
  </si>
  <si>
    <t>Ф 10</t>
  </si>
  <si>
    <t>Ф 11</t>
  </si>
  <si>
    <t xml:space="preserve">Проверка работоспособности рефакторинга программного кода </t>
  </si>
  <si>
    <r>
      <t>Результат обучения:</t>
    </r>
    <r>
      <rPr>
        <sz val="10"/>
        <rFont val="Times New Roman"/>
        <family val="1"/>
        <charset val="204"/>
      </rPr>
      <t xml:space="preserve"> 2.1. Укреплять здоровье и соблюдать принципы здорового образа жизни. 2.2. Совершенствовать физические качества и психофизиологические способности.</t>
    </r>
  </si>
  <si>
    <r>
      <t xml:space="preserve">Результаты обучения: </t>
    </r>
    <r>
      <rPr>
        <sz val="10"/>
        <rFont val="Times New Roman"/>
        <family val="1"/>
        <charset val="204"/>
      </rPr>
      <t>4.1  Владеть основами информационно-коммуникационных технологий. 4.2 Использовать услуги информационно-справочных и интерактивных веб-порталов.</t>
    </r>
  </si>
  <si>
    <r>
      <t xml:space="preserve">Результаты обучения: </t>
    </r>
    <r>
      <rPr>
        <sz val="10"/>
        <rFont val="Times New Roman"/>
        <family val="1"/>
        <charset val="204"/>
      </rPr>
      <t>3.1. Выделять данные и подбирать способы программирования модулей программного обеспечения. 3.2. Составлять блок-схему для каждого модуля программного обеспечения на основе дизайн-проекта. 3.3. Разрабатывать схему взаимодействия подзадач и их объединение в одну задачу. 3.4. Определять структуру данных, входные и выходные данные.</t>
    </r>
  </si>
  <si>
    <r>
      <t xml:space="preserve">Результаты обучения: </t>
    </r>
    <r>
      <rPr>
        <sz val="10"/>
        <rFont val="Times New Roman"/>
        <family val="1"/>
        <charset val="204"/>
      </rPr>
      <t>5.1. Определять структуру программы, процедуры, библиотеки языка для каждого модуля программного обеспечения. 5.2. Написать код программы на выбранном языке программирования. 5.3 Проводить отладку программного кода. 5.4. Разрабатывать тестовый набор и для верификации кода.</t>
    </r>
  </si>
  <si>
    <r>
      <t>Результаты обучения:</t>
    </r>
    <r>
      <rPr>
        <sz val="10"/>
        <rFont val="Times New Roman"/>
        <family val="1"/>
        <charset val="204"/>
      </rPr>
      <t xml:space="preserve"> 6.1. Осуществлять анализ и проверку исходного программного кода программного обеспечения. 6.2. Осуществлять отладку программного кода программного обеспечения на уровне программных модулей. 6.3 Воспроизводить и устранять выявленные дефекты в программном коде. 6.4. Формировать отчетную документацию. 6.5. Разрабатывать и оформлять контрольные примеры для проверки работоспособности программного кода. 6.6. Осуществлять рефакторинг программного кода.</t>
    </r>
  </si>
  <si>
    <r>
      <t>Результаты обучения:</t>
    </r>
    <r>
      <rPr>
        <sz val="10"/>
        <rFont val="Times New Roman"/>
        <family val="1"/>
        <charset val="204"/>
      </rPr>
      <t xml:space="preserve"> 7.1. Создавать базы данных и хранилище данных, использовать функциональные возможности систем управления базами данных. 7.2. Разрабатывать алгоритмы для обработки больших данных. 7.3. Разрабатывать и использовать методы быстрого поиска и обработки данных.</t>
    </r>
  </si>
  <si>
    <r>
      <t xml:space="preserve">Результаты обучения: </t>
    </r>
    <r>
      <rPr>
        <sz val="10"/>
        <rFont val="Times New Roman"/>
        <family val="1"/>
        <charset val="204"/>
      </rPr>
      <t>5.1 Понимать морально-нравственные ценности и нормы, формирующие толерантность и активную личностную позицию. 5.2 Понимать роль и место культуры народов Республики Казахстан в мировой цивилизации. 5.3 Владеть сведениями об основных отраслях права. 5.4 Владеть основными понятиями социологии и политологии.</t>
    </r>
  </si>
  <si>
    <r>
      <t xml:space="preserve">Результаты обучения: </t>
    </r>
    <r>
      <rPr>
        <sz val="10"/>
        <rFont val="Times New Roman"/>
        <family val="1"/>
        <charset val="204"/>
      </rPr>
      <t>6.1. Владеть основными вопросами в области экономической теории. 6.2. Анализировать и оценивать экономические процессы, происходящие на предприятии. 6.3. Понимать тенденции развития мировой экономики, основные задачи перехода государства к «зеленой» экономике. 6.4. Владеть научными и законодательными основами организации и ведения предпринимательской деятельности в Республике Казахстан. 6.5. Соблюдать этику делового общения.</t>
    </r>
  </si>
  <si>
    <r>
      <t xml:space="preserve">Результаты обучения: </t>
    </r>
    <r>
      <rPr>
        <sz val="10"/>
        <rFont val="Times New Roman"/>
        <family val="1"/>
        <charset val="204"/>
      </rPr>
      <t>8.1. Определять требования к микропроцессору и разрабатывать алгоритм управления. 8.2. Осуществлять коррекцию схем и топологии микроконтроллеров. 8.3. Устранять выявленные дефекты в программном коде. 8.4. Разрабатывать и оформлять контрольные примеры для проверки работоспособности программного кода.</t>
    </r>
  </si>
  <si>
    <r>
      <t xml:space="preserve">Результаты обучения: </t>
    </r>
    <r>
      <rPr>
        <sz val="10"/>
        <rFont val="Times New Roman"/>
        <family val="1"/>
        <charset val="204"/>
      </rPr>
      <t>9.1. Проектировать приложение при помощи макета приложений. 9.2. Работать со стандартными сервисами платформы. 9.3. Использовать технологии работы с базами данных. 9.4. Использовать технологии работы с различными протоколами обмена  данными. 9.5. Тестировать мобильные приложения.</t>
    </r>
  </si>
  <si>
    <t>Применение базовых знаний экономики и основ предпринимательства</t>
  </si>
  <si>
    <t>БМ 1</t>
  </si>
  <si>
    <t>БМ 2</t>
  </si>
  <si>
    <t>БМ 3</t>
  </si>
  <si>
    <t>БМ 4</t>
  </si>
  <si>
    <t>ПМ 1</t>
  </si>
  <si>
    <r>
      <t xml:space="preserve">Результаты обучения: </t>
    </r>
    <r>
      <rPr>
        <sz val="10"/>
        <rFont val="Times New Roman"/>
        <family val="1"/>
        <charset val="204"/>
      </rPr>
      <t>Осуществлять постановку цели и задачи и вырабатывать требования к программному обеспечению.</t>
    </r>
    <r>
      <rPr>
        <b/>
        <sz val="10"/>
        <rFont val="Times New Roman"/>
        <family val="1"/>
      </rPr>
      <t xml:space="preserve"> Разрабатывать технические спецификации на программные компоненты.  Выбирать методы и стратегии разработки программного обеспечения. Применять основы  высшей, дискретной математики, численных методов, математической статистики в проектировании программного обеспечения Определять архитектуру программного обеспечения и выбирать программные средства для подготовки макетов модулей программного обеспечения.</t>
    </r>
  </si>
  <si>
    <t>ПМ 1.1</t>
  </si>
  <si>
    <t>ПМ 2.2</t>
  </si>
  <si>
    <t>ПМ 2</t>
  </si>
  <si>
    <t>ПМ 3</t>
  </si>
  <si>
    <t xml:space="preserve">Применение пакета прикладних программ, графических редакторов и мультимедийных приложений </t>
  </si>
  <si>
    <t>РО 3.1 Выполнять работу по установке, настройке, оптимизации операционной системы, программного обеспечения. РО 3.2 Проводить обслуживание и эксплуатацию вычислительной техники. 3.3 Применять пакеты графических редакторов, мультимедийных приложении.</t>
  </si>
  <si>
    <t>ПМ 3.1</t>
  </si>
  <si>
    <t>ПМ 3.2</t>
  </si>
  <si>
    <t>ПМ 3.3</t>
  </si>
  <si>
    <t>ПМ 4</t>
  </si>
  <si>
    <t>ПМ 4.1</t>
  </si>
  <si>
    <t>ПМ 4.2</t>
  </si>
  <si>
    <t>ПМ 4.3</t>
  </si>
  <si>
    <t>ПМ 4.4</t>
  </si>
  <si>
    <t>ПМ 5</t>
  </si>
  <si>
    <t>ПМ 5.1</t>
  </si>
  <si>
    <t>ПМ 5.2</t>
  </si>
  <si>
    <t xml:space="preserve">ПМ 5.3 </t>
  </si>
  <si>
    <t xml:space="preserve">ПМ 6 </t>
  </si>
  <si>
    <t>ПМ 6.1</t>
  </si>
  <si>
    <t>ПМ 6.2</t>
  </si>
  <si>
    <t>ПМ 6.3</t>
  </si>
  <si>
    <t>ПМ 6.4</t>
  </si>
  <si>
    <t>ПМ 6.5</t>
  </si>
  <si>
    <t>БМ 4.1</t>
  </si>
  <si>
    <t>БМ 4.2</t>
  </si>
  <si>
    <t>БМ 4.3</t>
  </si>
  <si>
    <t>БМ 4.4</t>
  </si>
  <si>
    <t>Производственная практика разработчика программного обеспечения</t>
  </si>
  <si>
    <t>ПМ 6.6</t>
  </si>
  <si>
    <t>ПМ 6.7</t>
  </si>
  <si>
    <t>ПМ 7</t>
  </si>
  <si>
    <t>ПМ 7.1</t>
  </si>
  <si>
    <t>ПМ 7.2</t>
  </si>
  <si>
    <t>ПМ 7.3</t>
  </si>
  <si>
    <t>ПМ 7.4</t>
  </si>
  <si>
    <t>ПМ 7.5</t>
  </si>
  <si>
    <t>ПМ 8</t>
  </si>
  <si>
    <t>ПМ 8.1</t>
  </si>
  <si>
    <t>ПМ 8.2</t>
  </si>
  <si>
    <t>ПМ 8.3</t>
  </si>
  <si>
    <t>ПМ 8.4</t>
  </si>
  <si>
    <t>ПМ 8.5</t>
  </si>
  <si>
    <t>Профессиональный казахский язык</t>
  </si>
  <si>
    <t>Профессиональный иностранный язык</t>
  </si>
  <si>
    <t>ПМ 1.2</t>
  </si>
  <si>
    <t>ПМ 1.3</t>
  </si>
  <si>
    <t>ПМ 1.4</t>
  </si>
  <si>
    <t>ПМ 1.5</t>
  </si>
  <si>
    <t>ПМ 1.6</t>
  </si>
  <si>
    <t>БМ 3.1</t>
  </si>
  <si>
    <t>БМ 3.4</t>
  </si>
  <si>
    <t>БМ 3.5</t>
  </si>
  <si>
    <t>БМ 2.1</t>
  </si>
  <si>
    <t>ИТОГО 4 КУРС:</t>
  </si>
  <si>
    <t xml:space="preserve">Спорт секции </t>
  </si>
  <si>
    <t xml:space="preserve">Среда разработки Unity </t>
  </si>
  <si>
    <t xml:space="preserve">WS Графический дизайн </t>
  </si>
  <si>
    <t>WS Веб дизайн и разработка</t>
  </si>
  <si>
    <t>Ф 1</t>
  </si>
  <si>
    <t>Ф 2</t>
  </si>
  <si>
    <t>Ф 3</t>
  </si>
  <si>
    <t>Ф 4</t>
  </si>
  <si>
    <t>Ф 5</t>
  </si>
  <si>
    <t>Ф 6</t>
  </si>
  <si>
    <t>Ф 7</t>
  </si>
  <si>
    <t xml:space="preserve">Углубленный уровень: </t>
  </si>
  <si>
    <t xml:space="preserve">Стандартный уровень: </t>
  </si>
  <si>
    <t xml:space="preserve">ООД </t>
  </si>
  <si>
    <t>ООД 1</t>
  </si>
  <si>
    <t>ООД 2</t>
  </si>
  <si>
    <t>ООД 3</t>
  </si>
  <si>
    <t>ООД 4</t>
  </si>
  <si>
    <t>ООД 5</t>
  </si>
  <si>
    <t>ООД 6</t>
  </si>
  <si>
    <t>ООД 7</t>
  </si>
  <si>
    <t>ООД 8</t>
  </si>
  <si>
    <t>ООД 9</t>
  </si>
  <si>
    <t>ПА 1</t>
  </si>
  <si>
    <t>БМ 1.1</t>
  </si>
  <si>
    <t>БМ 3.2</t>
  </si>
  <si>
    <t>ПА 2</t>
  </si>
  <si>
    <t>ПА 3</t>
  </si>
  <si>
    <t>ИА 3</t>
  </si>
  <si>
    <t xml:space="preserve">Ф </t>
  </si>
  <si>
    <t xml:space="preserve">К </t>
  </si>
  <si>
    <t>Ф 8</t>
  </si>
  <si>
    <t>Ф 9</t>
  </si>
  <si>
    <t>ПМ 2.1</t>
  </si>
  <si>
    <t>ПМ 1.7</t>
  </si>
  <si>
    <t xml:space="preserve">Объем учебного </t>
  </si>
  <si>
    <t>времени</t>
  </si>
  <si>
    <t>в том</t>
  </si>
  <si>
    <t>числе</t>
  </si>
  <si>
    <t>Самостоятельная работа студента с педагогом</t>
  </si>
  <si>
    <t>Самостоятельноя работа студента</t>
  </si>
  <si>
    <t>Наименование модулей / дисциплин</t>
  </si>
  <si>
    <t>всего кредитов</t>
  </si>
  <si>
    <t>Индивидуальные</t>
  </si>
  <si>
    <t xml:space="preserve"> График учебного процесса</t>
  </si>
  <si>
    <t>ТО                                         18</t>
  </si>
  <si>
    <t>ТО                                                               20</t>
  </si>
  <si>
    <t>ПО</t>
  </si>
  <si>
    <t>ТО</t>
  </si>
  <si>
    <t xml:space="preserve">теоретическое обучение  </t>
  </si>
  <si>
    <t>производственное обучение</t>
  </si>
  <si>
    <t>ПС</t>
  </si>
  <si>
    <t xml:space="preserve">полевые сборы </t>
  </si>
  <si>
    <t>ПП</t>
  </si>
  <si>
    <t xml:space="preserve">профессиональная практика </t>
  </si>
  <si>
    <t>Сводные данные по бюджету времени</t>
  </si>
  <si>
    <t>Курс</t>
  </si>
  <si>
    <t>Производственное обучение и профессиональная практика</t>
  </si>
  <si>
    <t>Дипломное проектирование (если запланировано)</t>
  </si>
  <si>
    <t>Праздничные дни</t>
  </si>
  <si>
    <t>Каникулы</t>
  </si>
  <si>
    <t>Всего недель в учебном году</t>
  </si>
  <si>
    <t>недель</t>
  </si>
  <si>
    <t>часов</t>
  </si>
  <si>
    <t>кредитов</t>
  </si>
  <si>
    <t>Итого</t>
  </si>
  <si>
    <t>Рабочий учебный план</t>
  </si>
  <si>
    <t xml:space="preserve">Основы эффективного трудоустройства </t>
  </si>
  <si>
    <t>БМ 3.3</t>
  </si>
  <si>
    <t xml:space="preserve">Программирование на языках высокого уровня </t>
  </si>
  <si>
    <t>Операционные системы и пакет прикладных программ</t>
  </si>
  <si>
    <t>Разработка  web страниц, сайтов, баз данных</t>
  </si>
  <si>
    <t xml:space="preserve">Аппаратное обеспечение компьютерной техники </t>
  </si>
  <si>
    <t>Распределение часов по  семестрам</t>
  </si>
  <si>
    <t>основы экономики</t>
  </si>
  <si>
    <t xml:space="preserve">основы предпринимательства </t>
  </si>
  <si>
    <t>Операционные системы и ППП</t>
  </si>
  <si>
    <t>ИТОГО 1 КУРС:</t>
  </si>
  <si>
    <t>Разработка  web страниц, сайтов, БД</t>
  </si>
  <si>
    <t>Аппаратное обеспечение КТ</t>
  </si>
  <si>
    <t>Программирование на ЯВУ</t>
  </si>
  <si>
    <t xml:space="preserve">Трудоустройство </t>
  </si>
  <si>
    <r>
      <t xml:space="preserve">Результаты обучения: </t>
    </r>
    <r>
      <rPr>
        <sz val="10"/>
        <rFont val="Times New Roman"/>
        <family val="1"/>
        <charset val="204"/>
      </rPr>
      <t>Осуществлять постановку цели и задачи и вырабатывать требования к программному обеспечению. Разрабатывать технические спецификации на программные компоненты.  Выбирать методы и стратегии разработки программного обеспечения. Применять основы  высшей, дискретной математики, численных методов, математической статистики в проектировании программного обеспечения Определять архитектуру программного обеспечения и выбирать программные средства для подготовки макетов модулей программного обеспечения.</t>
    </r>
  </si>
  <si>
    <t>7 семестр 16 недель</t>
  </si>
  <si>
    <t>ДП         6</t>
  </si>
  <si>
    <t>ПП     4</t>
  </si>
  <si>
    <t>ПП      6</t>
  </si>
  <si>
    <r>
      <rPr>
        <u/>
        <sz val="5"/>
        <rFont val="Times New Roman"/>
        <family val="1"/>
        <charset val="204"/>
      </rPr>
      <t>ТО</t>
    </r>
    <r>
      <rPr>
        <sz val="5"/>
        <rFont val="Times New Roman"/>
        <family val="1"/>
        <charset val="204"/>
      </rPr>
      <t>ПО</t>
    </r>
  </si>
  <si>
    <r>
      <rPr>
        <u/>
        <sz val="5"/>
        <rFont val="Times New Roman"/>
        <family val="1"/>
        <charset val="204"/>
      </rPr>
      <t xml:space="preserve">ТО </t>
    </r>
    <r>
      <rPr>
        <sz val="5"/>
        <rFont val="Times New Roman"/>
        <family val="1"/>
        <charset val="204"/>
      </rPr>
      <t>ПО</t>
    </r>
  </si>
  <si>
    <t xml:space="preserve">8 семестр 22 недель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</si>
</sst>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&quot;р.&quot;_-;\-* #,##0.00&quot;р.&quot;_-;_-* &quot;-&quot;??&quot;р.&quot;_-;_-@_-"/>
  </numFmts>
  <fonts count="32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name val="Arial Cyr"/>
      <charset val="204"/>
    </font>
    <font>
      <sz val="7.5"/>
      <name val="Arial Cyr"/>
      <charset val="204"/>
    </font>
    <font>
      <sz val="7"/>
      <name val="Arial Cyr"/>
      <charset val="204"/>
    </font>
    <font>
      <b/>
      <sz val="7"/>
      <name val="Arial Cyr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9"/>
      <name val="Times New Roman"/>
      <family val="1"/>
      <charset val="204"/>
    </font>
    <font>
      <i/>
      <sz val="10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i/>
      <sz val="8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sz val="9"/>
      <name val="Times New Roman"/>
      <family val="1"/>
    </font>
    <font>
      <sz val="9"/>
      <name val="Times New Roman"/>
      <family val="1"/>
    </font>
    <font>
      <sz val="7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8"/>
      <name val="Times New Roman"/>
      <family val="1"/>
    </font>
    <font>
      <sz val="8"/>
      <name val="Times New Roman"/>
      <family val="1"/>
      <charset val="204"/>
    </font>
    <font>
      <sz val="7.5"/>
      <name val="Times New Roman"/>
      <family val="1"/>
      <charset val="204"/>
    </font>
    <font>
      <b/>
      <sz val="6"/>
      <name val="Times New Roman"/>
      <family val="1"/>
      <charset val="204"/>
    </font>
    <font>
      <sz val="5"/>
      <name val="Times New Roman"/>
      <family val="1"/>
      <charset val="204"/>
    </font>
    <font>
      <u/>
      <sz val="5"/>
      <name val="Times New Roman"/>
      <family val="1"/>
      <charset val="204"/>
    </font>
    <font>
      <b/>
      <sz val="7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lightUp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" fillId="0" borderId="0"/>
  </cellStyleXfs>
  <cellXfs count="389">
    <xf numFmtId="0" fontId="0" fillId="0" borderId="0" xfId="0"/>
    <xf numFmtId="0" fontId="3" fillId="0" borderId="0" xfId="0" applyFont="1"/>
    <xf numFmtId="0" fontId="3" fillId="0" borderId="1" xfId="0" applyFont="1" applyBorder="1"/>
    <xf numFmtId="0" fontId="6" fillId="0" borderId="0" xfId="0" applyFont="1"/>
    <xf numFmtId="0" fontId="3" fillId="0" borderId="6" xfId="0" applyFont="1" applyBorder="1"/>
    <xf numFmtId="164" fontId="3" fillId="0" borderId="0" xfId="1" applyFont="1"/>
    <xf numFmtId="0" fontId="10" fillId="0" borderId="1" xfId="0" applyFont="1" applyBorder="1" applyAlignment="1">
      <alignment horizontal="justify" vertical="center" wrapText="1"/>
    </xf>
    <xf numFmtId="0" fontId="10" fillId="0" borderId="0" xfId="0" applyFont="1" applyFill="1"/>
    <xf numFmtId="0" fontId="10" fillId="0" borderId="6" xfId="0" applyFont="1" applyFill="1" applyBorder="1"/>
    <xf numFmtId="0" fontId="10" fillId="0" borderId="6" xfId="0" applyFont="1" applyFill="1" applyBorder="1" applyAlignment="1">
      <alignment horizontal="right" wrapText="1"/>
    </xf>
    <xf numFmtId="0" fontId="10" fillId="0" borderId="6" xfId="0" applyFont="1" applyFill="1" applyBorder="1" applyAlignment="1">
      <alignment horizontal="right"/>
    </xf>
    <xf numFmtId="0" fontId="11" fillId="0" borderId="6" xfId="0" applyFont="1" applyFill="1" applyBorder="1"/>
    <xf numFmtId="0" fontId="11" fillId="0" borderId="1" xfId="0" applyFont="1" applyFill="1" applyBorder="1" applyAlignment="1">
      <alignment horizontal="center"/>
    </xf>
    <xf numFmtId="0" fontId="10" fillId="0" borderId="0" xfId="0" applyFont="1" applyFill="1" applyBorder="1"/>
    <xf numFmtId="0" fontId="11" fillId="0" borderId="3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/>
    </xf>
    <xf numFmtId="0" fontId="11" fillId="0" borderId="0" xfId="0" applyFont="1" applyFill="1"/>
    <xf numFmtId="0" fontId="10" fillId="0" borderId="1" xfId="0" applyFont="1" applyFill="1" applyBorder="1" applyAlignment="1">
      <alignment vertical="center" wrapText="1"/>
    </xf>
    <xf numFmtId="49" fontId="10" fillId="0" borderId="1" xfId="0" applyNumberFormat="1" applyFont="1" applyFill="1" applyBorder="1" applyAlignment="1">
      <alignment vertical="center"/>
    </xf>
    <xf numFmtId="0" fontId="10" fillId="0" borderId="6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10" fillId="0" borderId="6" xfId="0" applyFont="1" applyFill="1" applyBorder="1" applyAlignment="1">
      <alignment horizontal="right" vertical="center"/>
    </xf>
    <xf numFmtId="0" fontId="10" fillId="0" borderId="1" xfId="0" applyFont="1" applyFill="1" applyBorder="1" applyAlignment="1">
      <alignment horizontal="right" vertical="center"/>
    </xf>
    <xf numFmtId="0" fontId="10" fillId="0" borderId="1" xfId="0" applyFont="1" applyFill="1" applyBorder="1" applyAlignment="1">
      <alignment horizontal="right" vertical="center" wrapText="1"/>
    </xf>
    <xf numFmtId="0" fontId="10" fillId="0" borderId="1" xfId="0" applyFont="1" applyFill="1" applyBorder="1" applyAlignment="1">
      <alignment horizontal="justify" vertical="center" wrapText="1"/>
    </xf>
    <xf numFmtId="0" fontId="10" fillId="0" borderId="6" xfId="0" applyFont="1" applyFill="1" applyBorder="1" applyAlignment="1">
      <alignment horizontal="right" vertical="center" wrapText="1"/>
    </xf>
    <xf numFmtId="0" fontId="11" fillId="0" borderId="0" xfId="0" applyFont="1" applyFill="1" applyBorder="1"/>
    <xf numFmtId="49" fontId="8" fillId="0" borderId="1" xfId="0" applyNumberFormat="1" applyFont="1" applyFill="1" applyBorder="1" applyAlignment="1">
      <alignment vertical="center"/>
    </xf>
    <xf numFmtId="0" fontId="13" fillId="0" borderId="1" xfId="0" applyFont="1" applyFill="1" applyBorder="1" applyAlignment="1">
      <alignment horizontal="right" vertical="center" wrapText="1"/>
    </xf>
    <xf numFmtId="49" fontId="10" fillId="0" borderId="1" xfId="0" applyNumberFormat="1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right" vertical="center" wrapText="1"/>
    </xf>
    <xf numFmtId="0" fontId="10" fillId="0" borderId="6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/>
    </xf>
    <xf numFmtId="0" fontId="10" fillId="3" borderId="1" xfId="0" applyFont="1" applyFill="1" applyBorder="1" applyAlignment="1">
      <alignment horizontal="right" vertical="center"/>
    </xf>
    <xf numFmtId="0" fontId="11" fillId="4" borderId="1" xfId="0" applyFont="1" applyFill="1" applyBorder="1"/>
    <xf numFmtId="0" fontId="10" fillId="4" borderId="0" xfId="0" applyFont="1" applyFill="1"/>
    <xf numFmtId="0" fontId="10" fillId="4" borderId="0" xfId="0" applyFont="1" applyFill="1" applyBorder="1"/>
    <xf numFmtId="49" fontId="13" fillId="5" borderId="1" xfId="0" applyNumberFormat="1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 textRotation="90" wrapText="1"/>
    </xf>
    <xf numFmtId="0" fontId="10" fillId="3" borderId="0" xfId="0" applyFont="1" applyFill="1"/>
    <xf numFmtId="0" fontId="11" fillId="0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4" fillId="0" borderId="1" xfId="2" applyFont="1" applyFill="1" applyBorder="1" applyAlignment="1">
      <alignment vertical="center"/>
    </xf>
    <xf numFmtId="0" fontId="14" fillId="0" borderId="1" xfId="2" applyFont="1" applyFill="1" applyBorder="1" applyAlignment="1">
      <alignment horizontal="right" vertical="center"/>
    </xf>
    <xf numFmtId="0" fontId="15" fillId="0" borderId="1" xfId="2" applyFont="1" applyBorder="1" applyAlignment="1">
      <alignment horizontal="right" vertical="center"/>
    </xf>
    <xf numFmtId="0" fontId="15" fillId="0" borderId="1" xfId="2" applyFont="1" applyBorder="1" applyAlignment="1">
      <alignment vertical="center"/>
    </xf>
    <xf numFmtId="0" fontId="13" fillId="4" borderId="0" xfId="0" applyFont="1" applyFill="1"/>
    <xf numFmtId="0" fontId="13" fillId="4" borderId="0" xfId="0" applyFont="1" applyFill="1" applyBorder="1"/>
    <xf numFmtId="49" fontId="13" fillId="4" borderId="1" xfId="0" applyNumberFormat="1" applyFont="1" applyFill="1" applyBorder="1" applyAlignment="1">
      <alignment vertical="center"/>
    </xf>
    <xf numFmtId="0" fontId="13" fillId="4" borderId="1" xfId="0" applyFont="1" applyFill="1" applyBorder="1" applyAlignment="1">
      <alignment vertical="center"/>
    </xf>
    <xf numFmtId="0" fontId="13" fillId="0" borderId="0" xfId="0" applyFont="1" applyFill="1" applyAlignment="1">
      <alignment vertical="center"/>
    </xf>
    <xf numFmtId="0" fontId="11" fillId="4" borderId="4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3" fillId="4" borderId="6" xfId="0" applyFont="1" applyFill="1" applyBorder="1" applyAlignment="1">
      <alignment vertical="center"/>
    </xf>
    <xf numFmtId="0" fontId="13" fillId="4" borderId="1" xfId="0" applyFont="1" applyFill="1" applyBorder="1" applyAlignment="1">
      <alignment horizontal="right" vertical="center" wrapText="1"/>
    </xf>
    <xf numFmtId="0" fontId="8" fillId="0" borderId="1" xfId="0" applyFont="1" applyFill="1" applyBorder="1" applyAlignment="1">
      <alignment vertical="center"/>
    </xf>
    <xf numFmtId="0" fontId="13" fillId="4" borderId="4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horizontal="justify" vertical="center" wrapText="1"/>
    </xf>
    <xf numFmtId="0" fontId="11" fillId="4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right" vertical="center" wrapText="1"/>
    </xf>
    <xf numFmtId="0" fontId="8" fillId="4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/>
    </xf>
    <xf numFmtId="0" fontId="13" fillId="5" borderId="0" xfId="0" applyFont="1" applyFill="1" applyAlignment="1">
      <alignment vertical="center"/>
    </xf>
    <xf numFmtId="0" fontId="13" fillId="5" borderId="0" xfId="0" applyFont="1" applyFill="1" applyBorder="1" applyAlignment="1">
      <alignment vertical="center"/>
    </xf>
    <xf numFmtId="0" fontId="10" fillId="5" borderId="1" xfId="0" applyFont="1" applyFill="1" applyBorder="1"/>
    <xf numFmtId="0" fontId="10" fillId="5" borderId="0" xfId="0" applyFont="1" applyFill="1"/>
    <xf numFmtId="0" fontId="10" fillId="5" borderId="0" xfId="0" applyFont="1" applyFill="1" applyBorder="1"/>
    <xf numFmtId="0" fontId="13" fillId="5" borderId="4" xfId="0" applyFont="1" applyFill="1" applyBorder="1" applyAlignment="1">
      <alignment vertical="center" wrapText="1"/>
    </xf>
    <xf numFmtId="0" fontId="13" fillId="5" borderId="6" xfId="0" applyFont="1" applyFill="1" applyBorder="1" applyAlignment="1">
      <alignment vertical="center"/>
    </xf>
    <xf numFmtId="0" fontId="13" fillId="5" borderId="4" xfId="0" applyFont="1" applyFill="1" applyBorder="1" applyAlignment="1">
      <alignment vertical="center"/>
    </xf>
    <xf numFmtId="0" fontId="13" fillId="5" borderId="1" xfId="0" applyFont="1" applyFill="1" applyBorder="1" applyAlignment="1">
      <alignment horizontal="right" vertical="center"/>
    </xf>
    <xf numFmtId="0" fontId="10" fillId="5" borderId="1" xfId="0" applyFont="1" applyFill="1" applyBorder="1" applyAlignment="1">
      <alignment vertical="center"/>
    </xf>
    <xf numFmtId="0" fontId="10" fillId="5" borderId="0" xfId="0" applyFont="1" applyFill="1" applyAlignment="1">
      <alignment vertical="center"/>
    </xf>
    <xf numFmtId="0" fontId="10" fillId="5" borderId="0" xfId="0" applyFont="1" applyFill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11" fillId="4" borderId="1" xfId="0" applyFont="1" applyFill="1" applyBorder="1" applyAlignment="1">
      <alignment horizontal="right" vertical="center" wrapText="1"/>
    </xf>
    <xf numFmtId="0" fontId="10" fillId="4" borderId="0" xfId="0" applyFont="1" applyFill="1" applyAlignment="1">
      <alignment vertical="center"/>
    </xf>
    <xf numFmtId="0" fontId="10" fillId="4" borderId="0" xfId="0" applyFont="1" applyFill="1" applyBorder="1" applyAlignment="1">
      <alignment vertical="center"/>
    </xf>
    <xf numFmtId="0" fontId="11" fillId="4" borderId="6" xfId="0" applyFont="1" applyFill="1" applyBorder="1" applyAlignment="1">
      <alignment vertical="center"/>
    </xf>
    <xf numFmtId="49" fontId="13" fillId="4" borderId="3" xfId="0" applyNumberFormat="1" applyFont="1" applyFill="1" applyBorder="1" applyAlignment="1">
      <alignment vertical="center"/>
    </xf>
    <xf numFmtId="0" fontId="13" fillId="4" borderId="1" xfId="0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right" vertical="center" wrapText="1"/>
    </xf>
    <xf numFmtId="0" fontId="13" fillId="4" borderId="0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0" fillId="0" borderId="2" xfId="0" applyFont="1" applyFill="1" applyBorder="1" applyAlignment="1">
      <alignment vertical="center"/>
    </xf>
    <xf numFmtId="0" fontId="10" fillId="0" borderId="2" xfId="0" applyFont="1" applyFill="1" applyBorder="1" applyAlignment="1">
      <alignment horizontal="right" vertical="center" wrapText="1"/>
    </xf>
    <xf numFmtId="0" fontId="10" fillId="0" borderId="10" xfId="0" applyFont="1" applyFill="1" applyBorder="1" applyAlignment="1">
      <alignment horizontal="right" vertical="center" wrapText="1"/>
    </xf>
    <xf numFmtId="0" fontId="10" fillId="3" borderId="2" xfId="0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0" fontId="10" fillId="0" borderId="0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13" fillId="4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horizontal="center" vertical="center"/>
    </xf>
    <xf numFmtId="0" fontId="11" fillId="4" borderId="1" xfId="0" applyNumberFormat="1" applyFont="1" applyFill="1" applyBorder="1"/>
    <xf numFmtId="0" fontId="13" fillId="0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right" vertical="center" wrapText="1"/>
    </xf>
    <xf numFmtId="0" fontId="11" fillId="0" borderId="6" xfId="0" applyFont="1" applyFill="1" applyBorder="1" applyAlignment="1">
      <alignment horizontal="right" vertical="center" wrapText="1"/>
    </xf>
    <xf numFmtId="0" fontId="8" fillId="0" borderId="1" xfId="0" applyFont="1" applyFill="1" applyBorder="1" applyAlignment="1">
      <alignment horizontal="right" vertical="center" wrapText="1"/>
    </xf>
    <xf numFmtId="0" fontId="8" fillId="0" borderId="6" xfId="0" applyFont="1" applyFill="1" applyBorder="1" applyAlignment="1">
      <alignment horizontal="right" vertical="center" wrapText="1"/>
    </xf>
    <xf numFmtId="0" fontId="8" fillId="0" borderId="6" xfId="0" applyFont="1" applyFill="1" applyBorder="1" applyAlignment="1">
      <alignment vertical="center"/>
    </xf>
    <xf numFmtId="49" fontId="10" fillId="0" borderId="3" xfId="0" applyNumberFormat="1" applyFont="1" applyFill="1" applyBorder="1" applyAlignment="1">
      <alignment vertical="center"/>
    </xf>
    <xf numFmtId="0" fontId="11" fillId="0" borderId="6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right" vertical="center" wrapText="1"/>
    </xf>
    <xf numFmtId="0" fontId="11" fillId="3" borderId="1" xfId="0" applyFont="1" applyFill="1" applyBorder="1" applyAlignment="1">
      <alignment horizontal="right" vertical="center" wrapText="1"/>
    </xf>
    <xf numFmtId="0" fontId="10" fillId="0" borderId="2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vertical="center"/>
    </xf>
    <xf numFmtId="0" fontId="10" fillId="0" borderId="4" xfId="0" applyFont="1" applyFill="1" applyBorder="1" applyAlignment="1">
      <alignment horizontal="right" vertical="center"/>
    </xf>
    <xf numFmtId="0" fontId="11" fillId="0" borderId="4" xfId="0" applyFont="1" applyFill="1" applyBorder="1" applyAlignment="1">
      <alignment horizontal="right" vertical="center"/>
    </xf>
    <xf numFmtId="0" fontId="11" fillId="0" borderId="9" xfId="0" applyFont="1" applyFill="1" applyBorder="1" applyAlignment="1">
      <alignment horizontal="right" vertical="center"/>
    </xf>
    <xf numFmtId="0" fontId="11" fillId="0" borderId="1" xfId="0" applyFont="1" applyFill="1" applyBorder="1" applyAlignment="1">
      <alignment horizontal="right" vertical="center"/>
    </xf>
    <xf numFmtId="0" fontId="11" fillId="0" borderId="6" xfId="0" applyFont="1" applyFill="1" applyBorder="1" applyAlignment="1">
      <alignment horizontal="right" vertical="center"/>
    </xf>
    <xf numFmtId="0" fontId="11" fillId="0" borderId="4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 wrapText="1"/>
    </xf>
    <xf numFmtId="0" fontId="13" fillId="0" borderId="1" xfId="2" applyFont="1" applyFill="1" applyBorder="1" applyAlignment="1">
      <alignment vertical="center"/>
    </xf>
    <xf numFmtId="0" fontId="8" fillId="0" borderId="1" xfId="2" applyFont="1" applyFill="1" applyBorder="1" applyAlignment="1">
      <alignment vertical="center"/>
    </xf>
    <xf numFmtId="49" fontId="10" fillId="0" borderId="0" xfId="0" applyNumberFormat="1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 wrapText="1"/>
    </xf>
    <xf numFmtId="0" fontId="11" fillId="5" borderId="1" xfId="0" applyFont="1" applyFill="1" applyBorder="1"/>
    <xf numFmtId="0" fontId="8" fillId="3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/>
    </xf>
    <xf numFmtId="0" fontId="13" fillId="4" borderId="1" xfId="0" applyFont="1" applyFill="1" applyBorder="1"/>
    <xf numFmtId="0" fontId="13" fillId="0" borderId="1" xfId="0" applyFont="1" applyBorder="1" applyAlignment="1">
      <alignment horizontal="right" vertical="center" wrapText="1"/>
    </xf>
    <xf numFmtId="0" fontId="13" fillId="5" borderId="1" xfId="0" applyFont="1" applyFill="1" applyBorder="1" applyAlignment="1">
      <alignment horizontal="right" vertical="center" wrapText="1"/>
    </xf>
    <xf numFmtId="0" fontId="13" fillId="0" borderId="4" xfId="0" applyFont="1" applyFill="1" applyBorder="1" applyAlignment="1">
      <alignment horizontal="right" vertical="center"/>
    </xf>
    <xf numFmtId="0" fontId="13" fillId="3" borderId="1" xfId="0" applyFont="1" applyFill="1" applyBorder="1" applyAlignment="1">
      <alignment horizontal="right" vertical="center" wrapText="1"/>
    </xf>
    <xf numFmtId="0" fontId="13" fillId="0" borderId="2" xfId="0" applyFont="1" applyFill="1" applyBorder="1" applyAlignment="1">
      <alignment horizontal="right" vertical="center" wrapText="1"/>
    </xf>
    <xf numFmtId="0" fontId="13" fillId="0" borderId="0" xfId="0" applyFont="1" applyFill="1"/>
    <xf numFmtId="0" fontId="5" fillId="0" borderId="0" xfId="0" applyFont="1" applyAlignment="1">
      <alignment vertical="center"/>
    </xf>
    <xf numFmtId="0" fontId="8" fillId="0" borderId="6" xfId="0" applyFont="1" applyFill="1" applyBorder="1"/>
    <xf numFmtId="0" fontId="13" fillId="0" borderId="6" xfId="0" applyFont="1" applyFill="1" applyBorder="1" applyAlignment="1">
      <alignment horizontal="right" wrapText="1"/>
    </xf>
    <xf numFmtId="0" fontId="17" fillId="0" borderId="4" xfId="0" applyFont="1" applyFill="1" applyBorder="1" applyAlignment="1">
      <alignment horizontal="right" vertical="top" wrapText="1"/>
    </xf>
    <xf numFmtId="0" fontId="17" fillId="0" borderId="4" xfId="0" applyFont="1" applyFill="1" applyBorder="1" applyAlignment="1">
      <alignment horizontal="right" vertical="center" wrapText="1"/>
    </xf>
    <xf numFmtId="49" fontId="13" fillId="0" borderId="1" xfId="0" applyNumberFormat="1" applyFont="1" applyFill="1" applyBorder="1" applyAlignment="1">
      <alignment vertical="center"/>
    </xf>
    <xf numFmtId="0" fontId="13" fillId="0" borderId="2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 wrapText="1"/>
    </xf>
    <xf numFmtId="0" fontId="18" fillId="0" borderId="1" xfId="2" applyFont="1" applyFill="1" applyBorder="1" applyAlignment="1">
      <alignment horizontal="right" vertical="center" wrapText="1"/>
    </xf>
    <xf numFmtId="49" fontId="16" fillId="0" borderId="1" xfId="0" applyNumberFormat="1" applyFont="1" applyFill="1" applyBorder="1" applyAlignment="1">
      <alignment horizontal="right"/>
    </xf>
    <xf numFmtId="49" fontId="13" fillId="0" borderId="3" xfId="0" applyNumberFormat="1" applyFont="1" applyFill="1" applyBorder="1" applyAlignment="1">
      <alignment vertical="center"/>
    </xf>
    <xf numFmtId="0" fontId="13" fillId="0" borderId="0" xfId="0" applyFont="1" applyFill="1" applyBorder="1"/>
    <xf numFmtId="0" fontId="10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0" fillId="0" borderId="6" xfId="0" applyFont="1" applyBorder="1" applyAlignment="1">
      <alignment horizontal="right" vertical="center"/>
    </xf>
    <xf numFmtId="0" fontId="10" fillId="0" borderId="4" xfId="0" applyFont="1" applyBorder="1" applyAlignment="1">
      <alignment vertical="top" wrapText="1"/>
    </xf>
    <xf numFmtId="0" fontId="11" fillId="0" borderId="6" xfId="0" applyFont="1" applyBorder="1"/>
    <xf numFmtId="0" fontId="10" fillId="0" borderId="1" xfId="0" applyFont="1" applyBorder="1"/>
    <xf numFmtId="0" fontId="8" fillId="0" borderId="1" xfId="0" applyFont="1" applyBorder="1"/>
    <xf numFmtId="0" fontId="13" fillId="0" borderId="1" xfId="0" applyFont="1" applyBorder="1" applyAlignment="1">
      <alignment horizontal="right" wrapText="1"/>
    </xf>
    <xf numFmtId="0" fontId="10" fillId="0" borderId="1" xfId="0" applyFont="1" applyBorder="1" applyAlignment="1">
      <alignment horizontal="right" wrapText="1"/>
    </xf>
    <xf numFmtId="0" fontId="10" fillId="0" borderId="6" xfId="0" applyFont="1" applyBorder="1" applyAlignment="1">
      <alignment horizontal="right" wrapText="1"/>
    </xf>
    <xf numFmtId="0" fontId="10" fillId="0" borderId="6" xfId="0" applyFont="1" applyBorder="1" applyAlignment="1">
      <alignment horizontal="right"/>
    </xf>
    <xf numFmtId="0" fontId="8" fillId="0" borderId="6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center" wrapText="1"/>
    </xf>
    <xf numFmtId="0" fontId="10" fillId="0" borderId="2" xfId="0" applyFont="1" applyBorder="1" applyAlignment="1">
      <alignment horizontal="justify" vertical="center" wrapText="1"/>
    </xf>
    <xf numFmtId="0" fontId="10" fillId="0" borderId="10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3" fillId="0" borderId="2" xfId="0" applyFont="1" applyBorder="1" applyAlignment="1">
      <alignment horizontal="right" vertical="center" wrapText="1"/>
    </xf>
    <xf numFmtId="0" fontId="10" fillId="0" borderId="2" xfId="0" applyFont="1" applyBorder="1" applyAlignment="1">
      <alignment horizontal="right" vertical="center" wrapText="1"/>
    </xf>
    <xf numFmtId="0" fontId="10" fillId="0" borderId="10" xfId="0" applyFont="1" applyBorder="1" applyAlignment="1">
      <alignment horizontal="right" vertical="center" wrapText="1"/>
    </xf>
    <xf numFmtId="0" fontId="10" fillId="0" borderId="10" xfId="0" applyFont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justify" vertical="center" wrapText="1"/>
    </xf>
    <xf numFmtId="0" fontId="8" fillId="0" borderId="10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right" vertical="center" wrapText="1"/>
    </xf>
    <xf numFmtId="0" fontId="8" fillId="0" borderId="10" xfId="0" applyFont="1" applyBorder="1" applyAlignment="1">
      <alignment horizontal="right" vertical="center" wrapText="1"/>
    </xf>
    <xf numFmtId="0" fontId="8" fillId="0" borderId="10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3" fillId="3" borderId="2" xfId="0" applyFont="1" applyFill="1" applyBorder="1" applyAlignment="1">
      <alignment vertical="center"/>
    </xf>
    <xf numFmtId="0" fontId="13" fillId="3" borderId="2" xfId="0" applyFont="1" applyFill="1" applyBorder="1" applyAlignment="1">
      <alignment horizontal="right" vertical="center" wrapText="1"/>
    </xf>
    <xf numFmtId="0" fontId="13" fillId="3" borderId="10" xfId="0" applyFont="1" applyFill="1" applyBorder="1" applyAlignment="1">
      <alignment horizontal="right" vertical="center" wrapText="1"/>
    </xf>
    <xf numFmtId="0" fontId="10" fillId="3" borderId="0" xfId="0" applyFont="1" applyFill="1" applyBorder="1" applyAlignment="1">
      <alignment vertical="center"/>
    </xf>
    <xf numFmtId="0" fontId="8" fillId="0" borderId="0" xfId="0" applyFont="1" applyFill="1" applyBorder="1" applyAlignment="1"/>
    <xf numFmtId="0" fontId="8" fillId="0" borderId="0" xfId="0" applyFont="1" applyFill="1" applyBorder="1"/>
    <xf numFmtId="0" fontId="8" fillId="0" borderId="0" xfId="0" applyFont="1" applyFill="1"/>
    <xf numFmtId="0" fontId="8" fillId="4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8" fillId="5" borderId="0" xfId="0" applyFont="1" applyFill="1"/>
    <xf numFmtId="0" fontId="13" fillId="5" borderId="0" xfId="0" applyFont="1" applyFill="1" applyBorder="1"/>
    <xf numFmtId="0" fontId="11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right" vertical="center"/>
    </xf>
    <xf numFmtId="49" fontId="8" fillId="0" borderId="3" xfId="0" applyNumberFormat="1" applyFont="1" applyFill="1" applyBorder="1" applyAlignment="1">
      <alignment vertical="center"/>
    </xf>
    <xf numFmtId="0" fontId="11" fillId="5" borderId="1" xfId="0" applyFont="1" applyFill="1" applyBorder="1" applyAlignment="1">
      <alignment horizontal="right" vertical="center"/>
    </xf>
    <xf numFmtId="0" fontId="11" fillId="4" borderId="1" xfId="0" applyFont="1" applyFill="1" applyBorder="1" applyAlignment="1">
      <alignment horizontal="right" vertical="center"/>
    </xf>
    <xf numFmtId="0" fontId="11" fillId="0" borderId="2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right" wrapText="1"/>
    </xf>
    <xf numFmtId="0" fontId="10" fillId="0" borderId="2" xfId="0" applyFont="1" applyFill="1" applyBorder="1" applyAlignment="1">
      <alignment horizontal="right" vertical="center"/>
    </xf>
    <xf numFmtId="0" fontId="8" fillId="0" borderId="2" xfId="0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right" vertical="center"/>
    </xf>
    <xf numFmtId="0" fontId="8" fillId="0" borderId="4" xfId="0" applyFont="1" applyFill="1" applyBorder="1" applyAlignment="1">
      <alignment horizontal="right" vertical="center"/>
    </xf>
    <xf numFmtId="49" fontId="10" fillId="5" borderId="1" xfId="0" applyNumberFormat="1" applyFont="1" applyFill="1" applyBorder="1"/>
    <xf numFmtId="0" fontId="13" fillId="5" borderId="1" xfId="0" applyFont="1" applyFill="1" applyBorder="1" applyAlignment="1">
      <alignment horizontal="right" vertical="top" wrapText="1"/>
    </xf>
    <xf numFmtId="0" fontId="8" fillId="5" borderId="6" xfId="0" applyFont="1" applyFill="1" applyBorder="1"/>
    <xf numFmtId="0" fontId="11" fillId="5" borderId="6" xfId="0" applyFont="1" applyFill="1" applyBorder="1"/>
    <xf numFmtId="0" fontId="19" fillId="5" borderId="6" xfId="0" applyFont="1" applyFill="1" applyBorder="1"/>
    <xf numFmtId="0" fontId="8" fillId="5" borderId="1" xfId="0" applyFont="1" applyFill="1" applyBorder="1" applyAlignment="1">
      <alignment horizontal="right" vertical="top" wrapText="1"/>
    </xf>
    <xf numFmtId="0" fontId="19" fillId="5" borderId="1" xfId="0" applyFont="1" applyFill="1" applyBorder="1" applyAlignment="1">
      <alignment horizontal="right" vertical="top" wrapText="1"/>
    </xf>
    <xf numFmtId="0" fontId="10" fillId="0" borderId="1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vertical="center"/>
    </xf>
    <xf numFmtId="0" fontId="10" fillId="6" borderId="1" xfId="0" applyFont="1" applyFill="1" applyBorder="1" applyAlignment="1">
      <alignment vertical="center"/>
    </xf>
    <xf numFmtId="0" fontId="13" fillId="6" borderId="1" xfId="0" applyFont="1" applyFill="1" applyBorder="1" applyAlignment="1">
      <alignment vertical="center"/>
    </xf>
    <xf numFmtId="0" fontId="8" fillId="6" borderId="0" xfId="0" applyFont="1" applyFill="1" applyAlignment="1">
      <alignment vertical="center"/>
    </xf>
    <xf numFmtId="0" fontId="10" fillId="6" borderId="0" xfId="0" applyFont="1" applyFill="1" applyBorder="1" applyAlignment="1">
      <alignment vertical="center"/>
    </xf>
    <xf numFmtId="0" fontId="13" fillId="6" borderId="0" xfId="0" applyFont="1" applyFill="1" applyBorder="1" applyAlignment="1">
      <alignment vertical="center"/>
    </xf>
    <xf numFmtId="0" fontId="10" fillId="6" borderId="0" xfId="0" applyFont="1" applyFill="1" applyAlignment="1">
      <alignment vertical="center"/>
    </xf>
    <xf numFmtId="0" fontId="11" fillId="6" borderId="1" xfId="0" applyFont="1" applyFill="1" applyBorder="1" applyAlignment="1">
      <alignment vertical="center" wrapText="1"/>
    </xf>
    <xf numFmtId="0" fontId="20" fillId="0" borderId="1" xfId="0" applyFont="1" applyFill="1" applyBorder="1" applyAlignment="1">
      <alignment horizontal="right" vertical="center"/>
    </xf>
    <xf numFmtId="0" fontId="13" fillId="0" borderId="1" xfId="0" applyFont="1" applyBorder="1" applyAlignment="1">
      <alignment vertical="center" wrapText="1"/>
    </xf>
    <xf numFmtId="0" fontId="11" fillId="0" borderId="1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11" fillId="0" borderId="7" xfId="0" applyFont="1" applyFill="1" applyBorder="1" applyAlignment="1">
      <alignment textRotation="90" wrapText="1"/>
    </xf>
    <xf numFmtId="0" fontId="11" fillId="0" borderId="3" xfId="0" applyFont="1" applyFill="1" applyBorder="1" applyAlignment="1">
      <alignment vertical="center" textRotation="90" readingOrder="1"/>
    </xf>
    <xf numFmtId="0" fontId="11" fillId="0" borderId="1" xfId="0" applyFont="1" applyFill="1" applyBorder="1" applyAlignment="1">
      <alignment vertical="center" textRotation="90" wrapText="1"/>
    </xf>
    <xf numFmtId="0" fontId="3" fillId="0" borderId="0" xfId="0" applyFont="1" applyAlignment="1"/>
    <xf numFmtId="0" fontId="3" fillId="0" borderId="0" xfId="0" applyFont="1" applyBorder="1" applyAlignment="1"/>
    <xf numFmtId="0" fontId="0" fillId="0" borderId="0" xfId="0" applyAlignment="1"/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 wrapText="1"/>
    </xf>
    <xf numFmtId="0" fontId="0" fillId="0" borderId="0" xfId="0" applyBorder="1" applyAlignment="1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3" fillId="0" borderId="0" xfId="0" applyFont="1" applyBorder="1"/>
    <xf numFmtId="0" fontId="5" fillId="0" borderId="0" xfId="0" applyFont="1" applyBorder="1" applyAlignment="1">
      <alignment wrapText="1"/>
    </xf>
    <xf numFmtId="0" fontId="6" fillId="0" borderId="0" xfId="0" applyFont="1" applyBorder="1"/>
    <xf numFmtId="0" fontId="3" fillId="0" borderId="6" xfId="0" applyFont="1" applyBorder="1" applyAlignment="1"/>
    <xf numFmtId="0" fontId="3" fillId="0" borderId="1" xfId="0" applyFont="1" applyBorder="1" applyAlignment="1"/>
    <xf numFmtId="0" fontId="7" fillId="0" borderId="0" xfId="0" applyFont="1"/>
    <xf numFmtId="0" fontId="7" fillId="0" borderId="1" xfId="0" applyFont="1" applyBorder="1" applyAlignment="1">
      <alignment horizontal="justify" vertical="center" wrapText="1"/>
    </xf>
    <xf numFmtId="0" fontId="17" fillId="0" borderId="1" xfId="0" applyFont="1" applyFill="1" applyBorder="1" applyAlignment="1">
      <alignment horizontal="right" vertical="center" wrapText="1"/>
    </xf>
    <xf numFmtId="0" fontId="8" fillId="0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center"/>
    </xf>
    <xf numFmtId="0" fontId="21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/>
    </xf>
    <xf numFmtId="0" fontId="21" fillId="0" borderId="2" xfId="0" applyFont="1" applyFill="1" applyBorder="1" applyAlignment="1">
      <alignment horizontal="center"/>
    </xf>
    <xf numFmtId="2" fontId="21" fillId="0" borderId="1" xfId="0" applyNumberFormat="1" applyFont="1" applyFill="1" applyBorder="1" applyAlignment="1">
      <alignment horizontal="center"/>
    </xf>
    <xf numFmtId="0" fontId="22" fillId="0" borderId="0" xfId="0" applyFont="1" applyFill="1"/>
    <xf numFmtId="0" fontId="21" fillId="0" borderId="0" xfId="0" applyFont="1" applyFill="1" applyBorder="1"/>
    <xf numFmtId="0" fontId="21" fillId="0" borderId="0" xfId="0" applyFont="1" applyFill="1"/>
    <xf numFmtId="0" fontId="8" fillId="0" borderId="0" xfId="0" applyFont="1"/>
    <xf numFmtId="0" fontId="10" fillId="0" borderId="0" xfId="0" applyFont="1"/>
    <xf numFmtId="0" fontId="13" fillId="0" borderId="0" xfId="0" applyFont="1"/>
    <xf numFmtId="0" fontId="11" fillId="0" borderId="1" xfId="0" applyFont="1" applyBorder="1" applyAlignment="1">
      <alignment textRotation="90" wrapText="1"/>
    </xf>
    <xf numFmtId="0" fontId="11" fillId="0" borderId="1" xfId="0" applyFont="1" applyBorder="1" applyAlignment="1">
      <alignment vertical="center" textRotation="90" readingOrder="1"/>
    </xf>
    <xf numFmtId="0" fontId="11" fillId="0" borderId="1" xfId="0" applyFont="1" applyBorder="1" applyAlignment="1">
      <alignment horizontal="center" textRotation="90" wrapText="1"/>
    </xf>
    <xf numFmtId="0" fontId="11" fillId="0" borderId="1" xfId="0" applyFont="1" applyBorder="1" applyAlignment="1">
      <alignment vertical="center" textRotation="90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1" fillId="0" borderId="0" xfId="0" applyFont="1"/>
    <xf numFmtId="0" fontId="10" fillId="0" borderId="1" xfId="0" applyFont="1" applyBorder="1" applyAlignment="1">
      <alignment horizontal="center"/>
    </xf>
    <xf numFmtId="2" fontId="23" fillId="0" borderId="1" xfId="0" applyNumberFormat="1" applyFont="1" applyBorder="1" applyAlignment="1">
      <alignment horizontal="center"/>
    </xf>
    <xf numFmtId="49" fontId="13" fillId="0" borderId="1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9" fontId="8" fillId="0" borderId="1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13" fillId="0" borderId="1" xfId="0" applyFont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10" fillId="4" borderId="1" xfId="0" applyFont="1" applyFill="1" applyBorder="1" applyAlignment="1">
      <alignment vertical="center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/>
    <xf numFmtId="49" fontId="16" fillId="0" borderId="1" xfId="0" applyNumberFormat="1" applyFont="1" applyBorder="1" applyAlignment="1">
      <alignment horizontal="right"/>
    </xf>
    <xf numFmtId="0" fontId="17" fillId="0" borderId="1" xfId="0" applyFont="1" applyBorder="1" applyAlignment="1">
      <alignment horizontal="right" vertical="top" wrapText="1"/>
    </xf>
    <xf numFmtId="0" fontId="8" fillId="5" borderId="1" xfId="0" applyFont="1" applyFill="1" applyBorder="1"/>
    <xf numFmtId="0" fontId="19" fillId="5" borderId="1" xfId="0" applyFont="1" applyFill="1" applyBorder="1"/>
    <xf numFmtId="0" fontId="13" fillId="5" borderId="0" xfId="0" applyFont="1" applyFill="1"/>
    <xf numFmtId="0" fontId="10" fillId="3" borderId="0" xfId="0" applyFont="1" applyFill="1" applyAlignment="1">
      <alignment vertical="center"/>
    </xf>
    <xf numFmtId="0" fontId="8" fillId="0" borderId="1" xfId="0" applyFont="1" applyBorder="1" applyAlignment="1">
      <alignment horizontal="justify" vertical="center" wrapText="1"/>
    </xf>
    <xf numFmtId="0" fontId="17" fillId="0" borderId="1" xfId="0" applyFont="1" applyBorder="1" applyAlignment="1">
      <alignment horizontal="right" vertical="center" wrapText="1"/>
    </xf>
    <xf numFmtId="0" fontId="13" fillId="3" borderId="1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vertical="center"/>
    </xf>
    <xf numFmtId="0" fontId="13" fillId="6" borderId="0" xfId="0" applyFont="1" applyFill="1" applyAlignment="1">
      <alignment vertical="center"/>
    </xf>
    <xf numFmtId="0" fontId="25" fillId="5" borderId="1" xfId="0" applyFont="1" applyFill="1" applyBorder="1"/>
    <xf numFmtId="0" fontId="26" fillId="0" borderId="0" xfId="0" applyFont="1"/>
    <xf numFmtId="0" fontId="26" fillId="0" borderId="0" xfId="0" applyFont="1" applyAlignment="1"/>
    <xf numFmtId="0" fontId="9" fillId="0" borderId="0" xfId="0" applyFont="1" applyBorder="1" applyAlignment="1"/>
    <xf numFmtId="0" fontId="26" fillId="0" borderId="0" xfId="0" applyFont="1" applyBorder="1" applyAlignment="1"/>
    <xf numFmtId="0" fontId="26" fillId="0" borderId="0" xfId="0" applyFont="1" applyAlignment="1">
      <alignment horizontal="left"/>
    </xf>
    <xf numFmtId="0" fontId="8" fillId="0" borderId="0" xfId="0" applyFont="1" applyAlignment="1"/>
    <xf numFmtId="0" fontId="26" fillId="0" borderId="0" xfId="0" applyFont="1" applyBorder="1" applyAlignment="1">
      <alignment horizontal="left"/>
    </xf>
    <xf numFmtId="0" fontId="27" fillId="0" borderId="4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 textRotation="90"/>
    </xf>
    <xf numFmtId="0" fontId="29" fillId="0" borderId="1" xfId="0" applyFont="1" applyBorder="1" applyAlignment="1">
      <alignment horizontal="distributed" vertical="distributed" wrapText="1"/>
    </xf>
    <xf numFmtId="0" fontId="23" fillId="0" borderId="3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/>
    </xf>
    <xf numFmtId="0" fontId="26" fillId="0" borderId="0" xfId="0" applyFont="1" applyBorder="1" applyAlignment="1">
      <alignment horizontal="center" vertical="center"/>
    </xf>
    <xf numFmtId="0" fontId="26" fillId="0" borderId="0" xfId="0" applyFont="1" applyBorder="1" applyAlignment="1">
      <alignment vertical="center" wrapText="1"/>
    </xf>
    <xf numFmtId="0" fontId="26" fillId="0" borderId="0" xfId="0" applyFont="1" applyBorder="1" applyAlignment="1">
      <alignment vertical="center"/>
    </xf>
    <xf numFmtId="0" fontId="26" fillId="0" borderId="0" xfId="0" applyFont="1" applyBorder="1" applyAlignment="1">
      <alignment horizontal="center" vertical="center" wrapText="1"/>
    </xf>
    <xf numFmtId="0" fontId="26" fillId="0" borderId="0" xfId="0" applyFont="1" applyBorder="1" applyAlignment="1">
      <alignment wrapText="1"/>
    </xf>
    <xf numFmtId="0" fontId="26" fillId="0" borderId="0" xfId="0" applyFont="1" applyBorder="1" applyAlignment="1">
      <alignment vertical="center" textRotation="90"/>
    </xf>
    <xf numFmtId="0" fontId="26" fillId="0" borderId="0" xfId="0" applyFont="1" applyBorder="1"/>
    <xf numFmtId="0" fontId="23" fillId="0" borderId="0" xfId="0" applyFont="1" applyBorder="1" applyAlignment="1">
      <alignment wrapText="1"/>
    </xf>
    <xf numFmtId="0" fontId="23" fillId="0" borderId="0" xfId="0" applyFont="1" applyBorder="1" applyAlignment="1">
      <alignment horizontal="left" wrapText="1"/>
    </xf>
    <xf numFmtId="0" fontId="23" fillId="0" borderId="0" xfId="0" applyFont="1" applyBorder="1" applyAlignment="1"/>
    <xf numFmtId="0" fontId="23" fillId="0" borderId="0" xfId="0" applyFont="1" applyAlignment="1"/>
    <xf numFmtId="0" fontId="31" fillId="0" borderId="0" xfId="0" applyFont="1" applyAlignme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26" fillId="0" borderId="0" xfId="0" applyFont="1" applyBorder="1" applyAlignment="1">
      <alignment horizontal="left"/>
    </xf>
    <xf numFmtId="0" fontId="26" fillId="0" borderId="1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164" fontId="26" fillId="0" borderId="3" xfId="1" applyFont="1" applyBorder="1" applyAlignment="1">
      <alignment horizontal="center"/>
    </xf>
    <xf numFmtId="164" fontId="26" fillId="0" borderId="7" xfId="1" applyFont="1" applyBorder="1" applyAlignment="1">
      <alignment horizontal="center"/>
    </xf>
    <xf numFmtId="0" fontId="23" fillId="0" borderId="3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31" fillId="0" borderId="0" xfId="0" applyFont="1" applyAlignment="1">
      <alignment horizontal="left"/>
    </xf>
    <xf numFmtId="0" fontId="16" fillId="0" borderId="0" xfId="0" applyFont="1" applyBorder="1" applyAlignment="1">
      <alignment horizontal="center" wrapText="1"/>
    </xf>
    <xf numFmtId="0" fontId="23" fillId="2" borderId="1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7" fillId="0" borderId="4" xfId="0" applyFont="1" applyBorder="1" applyAlignment="1">
      <alignment horizontal="justify" vertical="center" wrapText="1"/>
    </xf>
    <xf numFmtId="0" fontId="7" fillId="0" borderId="2" xfId="0" applyFont="1" applyBorder="1" applyAlignment="1">
      <alignment horizontal="justify" vertical="center" wrapText="1"/>
    </xf>
    <xf numFmtId="0" fontId="9" fillId="0" borderId="0" xfId="0" applyFont="1" applyAlignment="1">
      <alignment horizontal="center"/>
    </xf>
    <xf numFmtId="0" fontId="7" fillId="0" borderId="1" xfId="0" applyFont="1" applyBorder="1" applyAlignment="1">
      <alignment horizontal="justify" vertical="center" wrapText="1"/>
    </xf>
    <xf numFmtId="0" fontId="11" fillId="0" borderId="3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5" xfId="0" applyFont="1" applyFill="1" applyBorder="1" applyAlignment="1">
      <alignment horizontal="center" vertical="center" textRotation="90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8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 vertical="center" textRotation="90"/>
    </xf>
    <xf numFmtId="0" fontId="11" fillId="0" borderId="5" xfId="0" applyFont="1" applyFill="1" applyBorder="1" applyAlignment="1">
      <alignment horizontal="center" vertical="center" textRotation="90"/>
    </xf>
    <xf numFmtId="0" fontId="11" fillId="0" borderId="2" xfId="0" applyFont="1" applyFill="1" applyBorder="1" applyAlignment="1">
      <alignment horizontal="center" vertical="center" textRotation="90"/>
    </xf>
    <xf numFmtId="0" fontId="11" fillId="0" borderId="4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 textRotation="90"/>
    </xf>
    <xf numFmtId="0" fontId="13" fillId="0" borderId="2" xfId="0" applyFont="1" applyFill="1" applyBorder="1" applyAlignment="1">
      <alignment horizontal="center" vertical="center" textRotation="90"/>
    </xf>
    <xf numFmtId="0" fontId="11" fillId="0" borderId="1" xfId="0" applyFont="1" applyFill="1" applyBorder="1" applyAlignment="1">
      <alignment horizontal="center" vertical="center" textRotation="90"/>
    </xf>
    <xf numFmtId="0" fontId="11" fillId="0" borderId="3" xfId="0" applyFont="1" applyFill="1" applyBorder="1" applyAlignment="1">
      <alignment horizontal="center" wrapText="1"/>
    </xf>
    <xf numFmtId="0" fontId="11" fillId="0" borderId="7" xfId="0" applyFont="1" applyFill="1" applyBorder="1" applyAlignment="1">
      <alignment horizontal="center" wrapText="1"/>
    </xf>
    <xf numFmtId="0" fontId="11" fillId="0" borderId="6" xfId="0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/>
    </xf>
    <xf numFmtId="0" fontId="11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textRotation="90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textRotation="90" wrapText="1"/>
    </xf>
  </cellXfs>
  <cellStyles count="3">
    <cellStyle name="Денежный" xfId="1" builtinId="4"/>
    <cellStyle name="Обычный" xfId="0" builtinId="0"/>
    <cellStyle name="Обычный 2" xfId="2" xr:uid="{00000000-0005-0000-0000-000002000000}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3"/>
  <sheetViews>
    <sheetView topLeftCell="A3" zoomScale="120" zoomScaleNormal="120" workbookViewId="0">
      <selection activeCell="BL8" sqref="BL8"/>
    </sheetView>
  </sheetViews>
  <sheetFormatPr defaultColWidth="2.6640625" defaultRowHeight="10.199999999999999" x14ac:dyDescent="0.2"/>
  <cols>
    <col min="1" max="1" width="1.5546875" style="1" customWidth="1"/>
    <col min="2" max="2" width="3.6640625" style="1" customWidth="1"/>
    <col min="3" max="27" width="2.33203125" style="1" customWidth="1"/>
    <col min="28" max="28" width="2.6640625" style="1" customWidth="1"/>
    <col min="29" max="43" width="2.33203125" style="1" customWidth="1"/>
    <col min="44" max="44" width="2.88671875" style="1" customWidth="1"/>
    <col min="45" max="54" width="2.33203125" style="1" customWidth="1"/>
    <col min="55" max="57" width="2.44140625" style="1" customWidth="1"/>
    <col min="58" max="58" width="1.33203125" style="1" customWidth="1"/>
    <col min="59" max="59" width="1.5546875" style="1" hidden="1" customWidth="1"/>
    <col min="60" max="60" width="2.44140625" style="1" hidden="1" customWidth="1"/>
    <col min="61" max="62" width="2.44140625" style="1" customWidth="1"/>
    <col min="63" max="16384" width="2.6640625" style="1"/>
  </cols>
  <sheetData>
    <row r="1" spans="1:67" ht="15" customHeight="1" x14ac:dyDescent="0.25"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3"/>
      <c r="M1" s="303"/>
      <c r="N1" s="304" t="s">
        <v>258</v>
      </c>
      <c r="O1" s="303"/>
      <c r="P1" s="303"/>
      <c r="Q1" s="303"/>
      <c r="R1" s="303"/>
      <c r="S1" s="303"/>
      <c r="T1" s="302"/>
      <c r="U1" s="302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306"/>
      <c r="AW1" s="306"/>
      <c r="AX1" s="306"/>
      <c r="AY1" s="306"/>
      <c r="AZ1" s="306"/>
      <c r="BA1" s="306"/>
      <c r="BB1" s="306"/>
      <c r="BC1" s="230"/>
      <c r="BD1" s="230"/>
    </row>
    <row r="2" spans="1:67" ht="12.75" customHeight="1" x14ac:dyDescent="0.25">
      <c r="B2" s="305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3"/>
      <c r="V2" s="303"/>
      <c r="W2" s="303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32"/>
      <c r="AI2" s="332"/>
      <c r="AJ2" s="332"/>
      <c r="AK2" s="332"/>
      <c r="AL2" s="332"/>
      <c r="AM2" s="332"/>
      <c r="AN2" s="332"/>
      <c r="AO2" s="332"/>
      <c r="AP2" s="332"/>
      <c r="AQ2" s="332"/>
      <c r="AR2" s="332"/>
      <c r="AS2" s="332"/>
      <c r="AT2" s="332"/>
      <c r="AU2" s="307"/>
      <c r="AV2" s="307"/>
      <c r="AW2" s="307"/>
      <c r="AX2" s="307"/>
      <c r="AY2" s="307"/>
      <c r="AZ2" s="307"/>
      <c r="BA2" s="307"/>
      <c r="BB2" s="307"/>
      <c r="BC2" s="236"/>
      <c r="BD2" s="236"/>
      <c r="BE2" s="236"/>
      <c r="BF2" s="236"/>
      <c r="BG2" s="236"/>
      <c r="BH2" s="236"/>
      <c r="BI2" s="236"/>
      <c r="BJ2" s="236"/>
      <c r="BK2" s="236"/>
      <c r="BL2" s="236"/>
      <c r="BM2" s="236"/>
      <c r="BN2" s="236"/>
      <c r="BO2" s="236"/>
    </row>
    <row r="3" spans="1:67" ht="12.75" customHeight="1" x14ac:dyDescent="0.25">
      <c r="B3" s="305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3"/>
      <c r="V3" s="303"/>
      <c r="W3" s="303"/>
      <c r="X3" s="303"/>
      <c r="Y3" s="303"/>
      <c r="Z3" s="303"/>
      <c r="AA3" s="303"/>
      <c r="AB3" s="303"/>
      <c r="AC3" s="303"/>
      <c r="AD3" s="303"/>
      <c r="AE3" s="303"/>
      <c r="AF3" s="303"/>
      <c r="AG3" s="303"/>
      <c r="AH3" s="308"/>
      <c r="AI3" s="308"/>
      <c r="AJ3" s="308"/>
      <c r="AK3" s="308"/>
      <c r="AL3" s="308"/>
      <c r="AM3" s="308"/>
      <c r="AN3" s="308"/>
      <c r="AO3" s="308"/>
      <c r="AP3" s="308"/>
      <c r="AQ3" s="308"/>
      <c r="AR3" s="308"/>
      <c r="AS3" s="308"/>
      <c r="AT3" s="308"/>
      <c r="AU3" s="307"/>
      <c r="AV3" s="307"/>
      <c r="AW3" s="307"/>
      <c r="AX3" s="307"/>
      <c r="AY3" s="307"/>
      <c r="AZ3" s="307"/>
      <c r="BA3" s="307"/>
      <c r="BB3" s="307"/>
      <c r="BC3" s="236"/>
      <c r="BD3" s="236"/>
      <c r="BE3" s="236"/>
      <c r="BF3" s="236"/>
      <c r="BG3" s="236"/>
      <c r="BH3" s="236"/>
      <c r="BI3" s="236"/>
      <c r="BJ3" s="236"/>
      <c r="BK3" s="236"/>
      <c r="BL3" s="236"/>
      <c r="BM3" s="236"/>
      <c r="BN3" s="236"/>
      <c r="BO3" s="236"/>
    </row>
    <row r="4" spans="1:67" ht="12.75" customHeight="1" x14ac:dyDescent="0.25">
      <c r="A4" s="238"/>
      <c r="B4" s="309" t="s">
        <v>0</v>
      </c>
      <c r="C4" s="333" t="s">
        <v>1</v>
      </c>
      <c r="D4" s="333"/>
      <c r="E4" s="333"/>
      <c r="F4" s="333"/>
      <c r="G4" s="333"/>
      <c r="H4" s="333" t="s">
        <v>2</v>
      </c>
      <c r="I4" s="333"/>
      <c r="J4" s="333"/>
      <c r="K4" s="333"/>
      <c r="L4" s="333" t="s">
        <v>3</v>
      </c>
      <c r="M4" s="333"/>
      <c r="N4" s="333"/>
      <c r="O4" s="333"/>
      <c r="P4" s="333" t="s">
        <v>4</v>
      </c>
      <c r="Q4" s="333"/>
      <c r="R4" s="333"/>
      <c r="S4" s="333"/>
      <c r="T4" s="333"/>
      <c r="U4" s="333" t="s">
        <v>5</v>
      </c>
      <c r="V4" s="333"/>
      <c r="W4" s="333"/>
      <c r="X4" s="333"/>
      <c r="Y4" s="333"/>
      <c r="Z4" s="333" t="s">
        <v>6</v>
      </c>
      <c r="AA4" s="333"/>
      <c r="AB4" s="333"/>
      <c r="AC4" s="333"/>
      <c r="AD4" s="333" t="s">
        <v>7</v>
      </c>
      <c r="AE4" s="333"/>
      <c r="AF4" s="333"/>
      <c r="AG4" s="333"/>
      <c r="AH4" s="333"/>
      <c r="AI4" s="334" t="s">
        <v>32</v>
      </c>
      <c r="AJ4" s="335"/>
      <c r="AK4" s="335"/>
      <c r="AL4" s="336"/>
      <c r="AM4" s="333" t="s">
        <v>8</v>
      </c>
      <c r="AN4" s="333"/>
      <c r="AO4" s="333"/>
      <c r="AP4" s="333"/>
      <c r="AQ4" s="333" t="s">
        <v>9</v>
      </c>
      <c r="AR4" s="333"/>
      <c r="AS4" s="333"/>
      <c r="AT4" s="333"/>
      <c r="AU4" s="333" t="s">
        <v>10</v>
      </c>
      <c r="AV4" s="333"/>
      <c r="AW4" s="333"/>
      <c r="AX4" s="333"/>
      <c r="AY4" s="337" t="s">
        <v>11</v>
      </c>
      <c r="AZ4" s="338"/>
      <c r="BA4" s="338"/>
      <c r="BB4" s="338"/>
      <c r="BC4" s="239"/>
      <c r="BD4" s="239"/>
      <c r="BE4" s="236"/>
      <c r="BF4" s="236"/>
      <c r="BG4" s="236"/>
      <c r="BH4" s="236"/>
      <c r="BI4" s="236"/>
      <c r="BJ4" s="236"/>
      <c r="BK4" s="236"/>
      <c r="BL4" s="236"/>
      <c r="BM4" s="236"/>
      <c r="BN4" s="236"/>
      <c r="BO4" s="236"/>
    </row>
    <row r="5" spans="1:67" s="144" customFormat="1" ht="21.75" customHeight="1" x14ac:dyDescent="0.25">
      <c r="A5" s="240"/>
      <c r="B5" s="310"/>
      <c r="C5" s="310">
        <v>1</v>
      </c>
      <c r="D5" s="310">
        <v>2</v>
      </c>
      <c r="E5" s="310">
        <v>3</v>
      </c>
      <c r="F5" s="310">
        <v>4</v>
      </c>
      <c r="G5" s="310">
        <v>5</v>
      </c>
      <c r="H5" s="310">
        <v>6</v>
      </c>
      <c r="I5" s="310">
        <v>7</v>
      </c>
      <c r="J5" s="310">
        <v>8</v>
      </c>
      <c r="K5" s="310">
        <v>9</v>
      </c>
      <c r="L5" s="310">
        <v>10</v>
      </c>
      <c r="M5" s="310">
        <v>11</v>
      </c>
      <c r="N5" s="310">
        <v>12</v>
      </c>
      <c r="O5" s="310">
        <v>13</v>
      </c>
      <c r="P5" s="310">
        <v>14</v>
      </c>
      <c r="Q5" s="310">
        <v>15</v>
      </c>
      <c r="R5" s="310">
        <v>16</v>
      </c>
      <c r="S5" s="310">
        <v>17</v>
      </c>
      <c r="T5" s="310">
        <v>18</v>
      </c>
      <c r="U5" s="310">
        <v>19</v>
      </c>
      <c r="V5" s="310">
        <v>20</v>
      </c>
      <c r="W5" s="310">
        <v>21</v>
      </c>
      <c r="X5" s="310">
        <v>22</v>
      </c>
      <c r="Y5" s="310">
        <v>23</v>
      </c>
      <c r="Z5" s="310">
        <v>24</v>
      </c>
      <c r="AA5" s="310">
        <v>25</v>
      </c>
      <c r="AB5" s="310">
        <v>26</v>
      </c>
      <c r="AC5" s="310">
        <v>27</v>
      </c>
      <c r="AD5" s="310">
        <v>28</v>
      </c>
      <c r="AE5" s="310">
        <v>29</v>
      </c>
      <c r="AF5" s="310">
        <v>30</v>
      </c>
      <c r="AG5" s="310">
        <v>31</v>
      </c>
      <c r="AH5" s="310">
        <v>32</v>
      </c>
      <c r="AI5" s="310">
        <v>33</v>
      </c>
      <c r="AJ5" s="310">
        <v>34</v>
      </c>
      <c r="AK5" s="310">
        <v>35</v>
      </c>
      <c r="AL5" s="310">
        <v>36</v>
      </c>
      <c r="AM5" s="310">
        <v>37</v>
      </c>
      <c r="AN5" s="310">
        <v>38</v>
      </c>
      <c r="AO5" s="310">
        <v>39</v>
      </c>
      <c r="AP5" s="310">
        <v>40</v>
      </c>
      <c r="AQ5" s="310">
        <v>41</v>
      </c>
      <c r="AR5" s="310">
        <v>42</v>
      </c>
      <c r="AS5" s="310">
        <v>43</v>
      </c>
      <c r="AT5" s="310">
        <v>44</v>
      </c>
      <c r="AU5" s="310">
        <v>45</v>
      </c>
      <c r="AV5" s="310">
        <v>46</v>
      </c>
      <c r="AW5" s="310">
        <v>47</v>
      </c>
      <c r="AX5" s="310">
        <v>48</v>
      </c>
      <c r="AY5" s="310">
        <v>49</v>
      </c>
      <c r="AZ5" s="310">
        <v>50</v>
      </c>
      <c r="BA5" s="310">
        <v>51</v>
      </c>
      <c r="BB5" s="310">
        <v>52</v>
      </c>
      <c r="BC5" s="241"/>
      <c r="BD5" s="241"/>
    </row>
    <row r="6" spans="1:67" s="144" customFormat="1" ht="21.75" customHeight="1" x14ac:dyDescent="0.25">
      <c r="A6" s="240"/>
      <c r="B6" s="311" t="s">
        <v>12</v>
      </c>
      <c r="C6" s="339" t="s">
        <v>259</v>
      </c>
      <c r="D6" s="340"/>
      <c r="E6" s="340"/>
      <c r="F6" s="340"/>
      <c r="G6" s="340"/>
      <c r="H6" s="340"/>
      <c r="I6" s="340"/>
      <c r="J6" s="340"/>
      <c r="K6" s="340"/>
      <c r="L6" s="340"/>
      <c r="M6" s="340"/>
      <c r="N6" s="340"/>
      <c r="O6" s="340"/>
      <c r="P6" s="340"/>
      <c r="Q6" s="340"/>
      <c r="R6" s="340"/>
      <c r="S6" s="340"/>
      <c r="T6" s="341"/>
      <c r="U6" s="312" t="s">
        <v>67</v>
      </c>
      <c r="V6" s="311" t="s">
        <v>31</v>
      </c>
      <c r="W6" s="311" t="s">
        <v>31</v>
      </c>
      <c r="X6" s="342" t="s">
        <v>260</v>
      </c>
      <c r="Y6" s="342"/>
      <c r="Z6" s="342"/>
      <c r="AA6" s="342"/>
      <c r="AB6" s="343"/>
      <c r="AC6" s="343"/>
      <c r="AD6" s="343"/>
      <c r="AE6" s="343"/>
      <c r="AF6" s="343"/>
      <c r="AG6" s="343"/>
      <c r="AH6" s="343"/>
      <c r="AI6" s="343"/>
      <c r="AJ6" s="343"/>
      <c r="AK6" s="343"/>
      <c r="AL6" s="343"/>
      <c r="AM6" s="343"/>
      <c r="AN6" s="343"/>
      <c r="AO6" s="343"/>
      <c r="AP6" s="343"/>
      <c r="AQ6" s="343"/>
      <c r="AR6" s="313" t="s">
        <v>68</v>
      </c>
      <c r="AS6" s="313" t="s">
        <v>67</v>
      </c>
      <c r="AT6" s="311" t="s">
        <v>31</v>
      </c>
      <c r="AU6" s="311" t="s">
        <v>31</v>
      </c>
      <c r="AV6" s="311" t="s">
        <v>31</v>
      </c>
      <c r="AW6" s="311" t="s">
        <v>31</v>
      </c>
      <c r="AX6" s="311" t="s">
        <v>31</v>
      </c>
      <c r="AY6" s="311" t="s">
        <v>31</v>
      </c>
      <c r="AZ6" s="311" t="s">
        <v>31</v>
      </c>
      <c r="BA6" s="311" t="s">
        <v>31</v>
      </c>
      <c r="BB6" s="311" t="s">
        <v>31</v>
      </c>
      <c r="BC6" s="241"/>
      <c r="BD6" s="241"/>
    </row>
    <row r="7" spans="1:67" s="144" customFormat="1" ht="21.75" customHeight="1" x14ac:dyDescent="0.25">
      <c r="A7" s="240"/>
      <c r="B7" s="311" t="s">
        <v>13</v>
      </c>
      <c r="C7" s="314" t="s">
        <v>261</v>
      </c>
      <c r="D7" s="315" t="s">
        <v>301</v>
      </c>
      <c r="E7" s="315" t="s">
        <v>301</v>
      </c>
      <c r="F7" s="315" t="s">
        <v>301</v>
      </c>
      <c r="G7" s="315" t="s">
        <v>301</v>
      </c>
      <c r="H7" s="315" t="s">
        <v>301</v>
      </c>
      <c r="I7" s="315" t="s">
        <v>301</v>
      </c>
      <c r="J7" s="315" t="s">
        <v>301</v>
      </c>
      <c r="K7" s="315" t="s">
        <v>301</v>
      </c>
      <c r="L7" s="315" t="s">
        <v>301</v>
      </c>
      <c r="M7" s="315" t="s">
        <v>301</v>
      </c>
      <c r="N7" s="315" t="s">
        <v>301</v>
      </c>
      <c r="O7" s="315" t="s">
        <v>301</v>
      </c>
      <c r="P7" s="315" t="s">
        <v>301</v>
      </c>
      <c r="Q7" s="315" t="s">
        <v>301</v>
      </c>
      <c r="R7" s="315" t="s">
        <v>301</v>
      </c>
      <c r="S7" s="315" t="s">
        <v>301</v>
      </c>
      <c r="T7" s="315" t="s">
        <v>301</v>
      </c>
      <c r="U7" s="315" t="s">
        <v>301</v>
      </c>
      <c r="V7" s="315" t="s">
        <v>301</v>
      </c>
      <c r="W7" s="315" t="s">
        <v>301</v>
      </c>
      <c r="X7" s="315" t="s">
        <v>301</v>
      </c>
      <c r="Y7" s="312" t="s">
        <v>67</v>
      </c>
      <c r="Z7" s="311" t="s">
        <v>31</v>
      </c>
      <c r="AA7" s="316" t="s">
        <v>31</v>
      </c>
      <c r="AB7" s="315" t="s">
        <v>302</v>
      </c>
      <c r="AC7" s="315" t="s">
        <v>301</v>
      </c>
      <c r="AD7" s="315" t="s">
        <v>301</v>
      </c>
      <c r="AE7" s="315" t="s">
        <v>301</v>
      </c>
      <c r="AF7" s="315" t="s">
        <v>301</v>
      </c>
      <c r="AG7" s="315" t="s">
        <v>301</v>
      </c>
      <c r="AH7" s="315" t="s">
        <v>301</v>
      </c>
      <c r="AI7" s="315" t="s">
        <v>301</v>
      </c>
      <c r="AJ7" s="315" t="s">
        <v>301</v>
      </c>
      <c r="AK7" s="315" t="s">
        <v>301</v>
      </c>
      <c r="AL7" s="315" t="s">
        <v>301</v>
      </c>
      <c r="AM7" s="315" t="s">
        <v>301</v>
      </c>
      <c r="AN7" s="315" t="s">
        <v>301</v>
      </c>
      <c r="AO7" s="315" t="s">
        <v>301</v>
      </c>
      <c r="AP7" s="315" t="s">
        <v>301</v>
      </c>
      <c r="AQ7" s="315" t="s">
        <v>301</v>
      </c>
      <c r="AR7" s="313" t="s">
        <v>68</v>
      </c>
      <c r="AS7" s="311" t="s">
        <v>67</v>
      </c>
      <c r="AT7" s="313" t="s">
        <v>31</v>
      </c>
      <c r="AU7" s="311" t="s">
        <v>31</v>
      </c>
      <c r="AV7" s="311" t="s">
        <v>31</v>
      </c>
      <c r="AW7" s="311" t="s">
        <v>31</v>
      </c>
      <c r="AX7" s="311" t="s">
        <v>31</v>
      </c>
      <c r="AY7" s="311" t="s">
        <v>31</v>
      </c>
      <c r="AZ7" s="311" t="s">
        <v>31</v>
      </c>
      <c r="BA7" s="311" t="s">
        <v>31</v>
      </c>
      <c r="BB7" s="311" t="s">
        <v>31</v>
      </c>
      <c r="BC7" s="241"/>
      <c r="BD7" s="241"/>
    </row>
    <row r="8" spans="1:67" s="144" customFormat="1" ht="21.75" customHeight="1" x14ac:dyDescent="0.25">
      <c r="A8" s="240"/>
      <c r="B8" s="311" t="s">
        <v>14</v>
      </c>
      <c r="C8" s="315" t="s">
        <v>301</v>
      </c>
      <c r="D8" s="315" t="s">
        <v>301</v>
      </c>
      <c r="E8" s="315" t="s">
        <v>301</v>
      </c>
      <c r="F8" s="315" t="s">
        <v>301</v>
      </c>
      <c r="G8" s="315" t="s">
        <v>301</v>
      </c>
      <c r="H8" s="315" t="s">
        <v>301</v>
      </c>
      <c r="I8" s="315" t="s">
        <v>301</v>
      </c>
      <c r="J8" s="315" t="s">
        <v>301</v>
      </c>
      <c r="K8" s="315" t="s">
        <v>301</v>
      </c>
      <c r="L8" s="315" t="s">
        <v>301</v>
      </c>
      <c r="M8" s="315" t="s">
        <v>301</v>
      </c>
      <c r="N8" s="315" t="s">
        <v>301</v>
      </c>
      <c r="O8" s="315" t="s">
        <v>301</v>
      </c>
      <c r="P8" s="315" t="s">
        <v>301</v>
      </c>
      <c r="Q8" s="315" t="s">
        <v>301</v>
      </c>
      <c r="R8" s="315" t="s">
        <v>301</v>
      </c>
      <c r="S8" s="315" t="s">
        <v>301</v>
      </c>
      <c r="T8" s="315" t="s">
        <v>301</v>
      </c>
      <c r="U8" s="315" t="s">
        <v>301</v>
      </c>
      <c r="V8" s="315" t="s">
        <v>301</v>
      </c>
      <c r="W8" s="315" t="s">
        <v>301</v>
      </c>
      <c r="X8" s="315" t="s">
        <v>301</v>
      </c>
      <c r="Y8" s="311" t="s">
        <v>67</v>
      </c>
      <c r="Z8" s="311" t="s">
        <v>31</v>
      </c>
      <c r="AA8" s="311" t="s">
        <v>31</v>
      </c>
      <c r="AB8" s="315" t="s">
        <v>302</v>
      </c>
      <c r="AC8" s="315" t="s">
        <v>301</v>
      </c>
      <c r="AD8" s="315" t="s">
        <v>301</v>
      </c>
      <c r="AE8" s="315" t="s">
        <v>301</v>
      </c>
      <c r="AF8" s="315" t="s">
        <v>301</v>
      </c>
      <c r="AG8" s="315" t="s">
        <v>301</v>
      </c>
      <c r="AH8" s="315" t="s">
        <v>301</v>
      </c>
      <c r="AI8" s="315" t="s">
        <v>301</v>
      </c>
      <c r="AJ8" s="315" t="s">
        <v>301</v>
      </c>
      <c r="AK8" s="315" t="s">
        <v>301</v>
      </c>
      <c r="AL8" s="315" t="s">
        <v>301</v>
      </c>
      <c r="AM8" s="315" t="s">
        <v>301</v>
      </c>
      <c r="AN8" s="315" t="s">
        <v>301</v>
      </c>
      <c r="AO8" s="315" t="s">
        <v>301</v>
      </c>
      <c r="AP8" s="315" t="s">
        <v>301</v>
      </c>
      <c r="AQ8" s="315" t="s">
        <v>301</v>
      </c>
      <c r="AR8" s="313" t="s">
        <v>68</v>
      </c>
      <c r="AS8" s="311" t="s">
        <v>67</v>
      </c>
      <c r="AT8" s="313" t="s">
        <v>31</v>
      </c>
      <c r="AU8" s="311" t="s">
        <v>31</v>
      </c>
      <c r="AV8" s="311" t="s">
        <v>31</v>
      </c>
      <c r="AW8" s="311" t="s">
        <v>31</v>
      </c>
      <c r="AX8" s="311" t="s">
        <v>31</v>
      </c>
      <c r="AY8" s="311" t="s">
        <v>31</v>
      </c>
      <c r="AZ8" s="311" t="s">
        <v>31</v>
      </c>
      <c r="BA8" s="311" t="s">
        <v>31</v>
      </c>
      <c r="BB8" s="311" t="s">
        <v>31</v>
      </c>
    </row>
    <row r="9" spans="1:67" s="144" customFormat="1" ht="21.75" customHeight="1" x14ac:dyDescent="0.25">
      <c r="B9" s="311" t="s">
        <v>15</v>
      </c>
      <c r="C9" s="315" t="s">
        <v>302</v>
      </c>
      <c r="D9" s="315" t="s">
        <v>302</v>
      </c>
      <c r="E9" s="315" t="s">
        <v>302</v>
      </c>
      <c r="F9" s="315" t="s">
        <v>302</v>
      </c>
      <c r="G9" s="315" t="s">
        <v>302</v>
      </c>
      <c r="H9" s="315" t="s">
        <v>302</v>
      </c>
      <c r="I9" s="315" t="s">
        <v>302</v>
      </c>
      <c r="J9" s="315" t="s">
        <v>302</v>
      </c>
      <c r="K9" s="315" t="s">
        <v>302</v>
      </c>
      <c r="L9" s="315" t="s">
        <v>302</v>
      </c>
      <c r="M9" s="315" t="s">
        <v>302</v>
      </c>
      <c r="N9" s="315" t="s">
        <v>302</v>
      </c>
      <c r="O9" s="315" t="s">
        <v>302</v>
      </c>
      <c r="P9" s="315" t="s">
        <v>302</v>
      </c>
      <c r="Q9" s="315" t="s">
        <v>302</v>
      </c>
      <c r="R9" s="315" t="s">
        <v>302</v>
      </c>
      <c r="S9" s="311" t="s">
        <v>67</v>
      </c>
      <c r="T9" s="310" t="s">
        <v>31</v>
      </c>
      <c r="U9" s="311" t="s">
        <v>31</v>
      </c>
      <c r="V9" s="315" t="s">
        <v>302</v>
      </c>
      <c r="W9" s="315" t="s">
        <v>302</v>
      </c>
      <c r="X9" s="315" t="s">
        <v>302</v>
      </c>
      <c r="Y9" s="315" t="s">
        <v>302</v>
      </c>
      <c r="Z9" s="315" t="s">
        <v>302</v>
      </c>
      <c r="AA9" s="315" t="s">
        <v>302</v>
      </c>
      <c r="AB9" s="311" t="s">
        <v>68</v>
      </c>
      <c r="AC9" s="347" t="s">
        <v>300</v>
      </c>
      <c r="AD9" s="347"/>
      <c r="AE9" s="347"/>
      <c r="AF9" s="347"/>
      <c r="AG9" s="347"/>
      <c r="AH9" s="348"/>
      <c r="AI9" s="346" t="s">
        <v>299</v>
      </c>
      <c r="AJ9" s="346"/>
      <c r="AK9" s="346"/>
      <c r="AL9" s="346"/>
      <c r="AM9" s="346" t="s">
        <v>298</v>
      </c>
      <c r="AN9" s="346"/>
      <c r="AO9" s="346"/>
      <c r="AP9" s="346"/>
      <c r="AQ9" s="346"/>
      <c r="AR9" s="346"/>
      <c r="AS9" s="311" t="s">
        <v>29</v>
      </c>
      <c r="AT9" s="313" t="s">
        <v>31</v>
      </c>
      <c r="AU9" s="313" t="s">
        <v>31</v>
      </c>
      <c r="AV9" s="313" t="s">
        <v>31</v>
      </c>
      <c r="AW9" s="313" t="s">
        <v>31</v>
      </c>
      <c r="AX9" s="313" t="s">
        <v>31</v>
      </c>
      <c r="AY9" s="313" t="s">
        <v>31</v>
      </c>
      <c r="AZ9" s="313" t="s">
        <v>31</v>
      </c>
      <c r="BA9" s="313" t="s">
        <v>31</v>
      </c>
      <c r="BB9" s="313" t="s">
        <v>31</v>
      </c>
      <c r="BC9" s="242"/>
      <c r="BD9" s="242"/>
      <c r="BE9" s="242"/>
      <c r="BF9" s="242"/>
      <c r="BG9" s="242"/>
      <c r="BH9" s="242"/>
    </row>
    <row r="10" spans="1:67" ht="21" customHeight="1" x14ac:dyDescent="0.25">
      <c r="B10" s="317"/>
      <c r="C10" s="318"/>
      <c r="D10" s="318"/>
      <c r="E10" s="318"/>
      <c r="F10" s="318"/>
      <c r="G10" s="318"/>
      <c r="H10" s="318"/>
      <c r="I10" s="318"/>
      <c r="J10" s="318"/>
      <c r="K10" s="318"/>
      <c r="L10" s="318"/>
      <c r="M10" s="318"/>
      <c r="N10" s="318"/>
      <c r="O10" s="318"/>
      <c r="P10" s="318"/>
      <c r="Q10" s="318"/>
      <c r="R10" s="318"/>
      <c r="S10" s="318"/>
      <c r="T10" s="319"/>
      <c r="U10" s="320"/>
      <c r="V10" s="319"/>
      <c r="W10" s="319"/>
      <c r="X10" s="320"/>
      <c r="Y10" s="320"/>
      <c r="Z10" s="320"/>
      <c r="AA10" s="320"/>
      <c r="AB10" s="320"/>
      <c r="AC10" s="320"/>
      <c r="AD10" s="321"/>
      <c r="AE10" s="321"/>
      <c r="AF10" s="322"/>
      <c r="AG10" s="321"/>
      <c r="AH10" s="321"/>
      <c r="AI10" s="320"/>
      <c r="AJ10" s="320"/>
      <c r="AK10" s="318"/>
      <c r="AL10" s="318"/>
      <c r="AM10" s="318"/>
      <c r="AN10" s="318"/>
      <c r="AO10" s="318"/>
      <c r="AP10" s="318"/>
      <c r="AQ10" s="323"/>
      <c r="AR10" s="323"/>
      <c r="AS10" s="324"/>
      <c r="AT10" s="324"/>
      <c r="AU10" s="324"/>
      <c r="AV10" s="324"/>
      <c r="AW10" s="324"/>
      <c r="AX10" s="324"/>
      <c r="AY10" s="324"/>
      <c r="AZ10" s="324"/>
      <c r="BA10" s="324"/>
      <c r="BB10" s="324"/>
      <c r="BC10" s="244"/>
      <c r="BD10" s="244"/>
      <c r="BE10" s="244"/>
      <c r="BF10" s="244"/>
      <c r="BG10" s="244"/>
      <c r="BH10" s="244"/>
      <c r="BI10" s="236"/>
      <c r="BJ10" s="236"/>
      <c r="BK10" s="236"/>
      <c r="BL10" s="236"/>
      <c r="BM10" s="236"/>
      <c r="BN10" s="236"/>
      <c r="BO10" s="236"/>
    </row>
    <row r="11" spans="1:67" ht="11.25" customHeight="1" x14ac:dyDescent="0.25">
      <c r="B11" s="322"/>
      <c r="C11" s="322"/>
      <c r="D11" s="322"/>
      <c r="E11" s="322"/>
      <c r="F11" s="322"/>
      <c r="G11" s="322"/>
      <c r="H11" s="322"/>
      <c r="I11" s="322"/>
      <c r="J11" s="322"/>
      <c r="K11" s="322"/>
      <c r="L11" s="322"/>
      <c r="M11" s="345" t="s">
        <v>69</v>
      </c>
      <c r="N11" s="345"/>
      <c r="O11" s="345"/>
      <c r="P11" s="345"/>
      <c r="Q11" s="345"/>
      <c r="R11" s="345"/>
      <c r="S11" s="345"/>
      <c r="T11" s="345"/>
      <c r="U11" s="345"/>
      <c r="V11" s="345"/>
      <c r="W11" s="345"/>
      <c r="X11" s="345"/>
      <c r="Y11" s="345"/>
      <c r="Z11" s="345"/>
      <c r="AA11" s="345"/>
      <c r="AB11" s="345"/>
      <c r="AC11" s="345"/>
      <c r="AD11" s="345"/>
      <c r="AE11" s="345"/>
      <c r="AF11" s="345"/>
      <c r="AG11" s="345"/>
      <c r="AH11" s="325"/>
      <c r="AI11" s="325"/>
      <c r="AJ11" s="325"/>
      <c r="AK11" s="325"/>
      <c r="AL11" s="325"/>
      <c r="AM11" s="325"/>
      <c r="AN11" s="325"/>
      <c r="AO11" s="325"/>
      <c r="AP11" s="325"/>
      <c r="AQ11" s="325"/>
      <c r="AR11" s="325"/>
      <c r="AS11" s="325"/>
      <c r="AT11" s="325"/>
      <c r="AU11" s="325"/>
      <c r="AV11" s="325"/>
      <c r="AW11" s="326"/>
      <c r="AX11" s="326"/>
      <c r="AY11" s="325"/>
      <c r="AZ11" s="325"/>
      <c r="BA11" s="325"/>
      <c r="BB11" s="325"/>
      <c r="BC11" s="244"/>
      <c r="BD11" s="244"/>
      <c r="BE11" s="244"/>
      <c r="BF11" s="244"/>
      <c r="BG11" s="244"/>
      <c r="BH11" s="244"/>
      <c r="BI11" s="236"/>
      <c r="BJ11" s="236"/>
      <c r="BK11" s="236"/>
      <c r="BL11" s="236"/>
      <c r="BM11" s="236"/>
      <c r="BN11" s="236"/>
      <c r="BO11" s="236"/>
    </row>
    <row r="12" spans="1:67" ht="12" customHeight="1" x14ac:dyDescent="0.2">
      <c r="A12" s="243"/>
      <c r="B12" s="327"/>
      <c r="C12" s="344" t="s">
        <v>262</v>
      </c>
      <c r="D12" s="344"/>
      <c r="E12" s="328"/>
      <c r="F12" s="329" t="s">
        <v>263</v>
      </c>
      <c r="G12" s="329"/>
      <c r="H12" s="329"/>
      <c r="I12" s="329"/>
      <c r="J12" s="329"/>
      <c r="K12" s="329"/>
      <c r="L12" s="329"/>
      <c r="M12" s="329"/>
      <c r="N12" s="329"/>
      <c r="O12" s="329"/>
      <c r="P12" s="329"/>
      <c r="Q12" s="329"/>
      <c r="R12" s="329"/>
      <c r="S12" s="329"/>
      <c r="T12" s="329"/>
      <c r="U12" s="329"/>
      <c r="V12" s="329"/>
      <c r="W12" s="329"/>
      <c r="X12" s="349" t="s">
        <v>73</v>
      </c>
      <c r="Y12" s="349"/>
      <c r="Z12" s="329" t="s">
        <v>74</v>
      </c>
      <c r="AA12" s="329"/>
      <c r="AB12" s="329"/>
      <c r="AC12" s="329"/>
      <c r="AD12" s="329"/>
      <c r="AE12" s="329"/>
      <c r="AF12" s="329"/>
      <c r="AG12" s="329"/>
      <c r="AH12" s="329"/>
      <c r="AI12" s="329"/>
      <c r="AJ12" s="329"/>
      <c r="AK12" s="329"/>
      <c r="AL12" s="329"/>
      <c r="AM12" s="329"/>
      <c r="AN12" s="329"/>
      <c r="AO12" s="329"/>
      <c r="AP12" s="349" t="s">
        <v>67</v>
      </c>
      <c r="AQ12" s="349"/>
      <c r="AR12" s="330" t="s">
        <v>72</v>
      </c>
      <c r="AS12" s="330"/>
      <c r="AT12" s="330"/>
      <c r="AU12" s="330"/>
      <c r="AV12" s="330"/>
      <c r="AW12" s="330"/>
      <c r="AX12" s="330"/>
      <c r="AY12" s="330"/>
      <c r="AZ12" s="330"/>
      <c r="BA12" s="330"/>
      <c r="BB12" s="330"/>
      <c r="BC12" s="245"/>
      <c r="BD12" s="235"/>
      <c r="BE12" s="235"/>
      <c r="BF12" s="235"/>
      <c r="BG12" s="246"/>
      <c r="BH12" s="247"/>
      <c r="BI12" s="244"/>
      <c r="BJ12" s="244"/>
    </row>
    <row r="13" spans="1:67" ht="11.25" customHeight="1" x14ac:dyDescent="0.2">
      <c r="A13" s="3"/>
      <c r="B13" s="328"/>
      <c r="C13" s="344" t="s">
        <v>261</v>
      </c>
      <c r="D13" s="344"/>
      <c r="E13" s="328"/>
      <c r="F13" s="344" t="s">
        <v>264</v>
      </c>
      <c r="G13" s="344"/>
      <c r="H13" s="344"/>
      <c r="I13" s="344"/>
      <c r="J13" s="344"/>
      <c r="K13" s="344"/>
      <c r="L13" s="344"/>
      <c r="M13" s="344"/>
      <c r="N13" s="344"/>
      <c r="O13" s="344"/>
      <c r="P13" s="328"/>
      <c r="Q13" s="328"/>
      <c r="R13" s="328"/>
      <c r="S13" s="328"/>
      <c r="T13" s="328"/>
      <c r="U13" s="328"/>
      <c r="V13" s="328"/>
      <c r="W13" s="328"/>
      <c r="X13" s="349" t="s">
        <v>265</v>
      </c>
      <c r="Y13" s="349"/>
      <c r="Z13" s="329" t="s">
        <v>266</v>
      </c>
      <c r="AA13" s="329"/>
      <c r="AB13" s="329"/>
      <c r="AC13" s="329"/>
      <c r="AD13" s="331"/>
      <c r="AE13" s="302"/>
      <c r="AF13" s="302"/>
      <c r="AG13" s="302"/>
      <c r="AH13" s="302"/>
      <c r="AI13" s="302"/>
      <c r="AJ13" s="302"/>
      <c r="AK13" s="302"/>
      <c r="AL13" s="302"/>
      <c r="AM13" s="302"/>
      <c r="AN13" s="302"/>
      <c r="AO13" s="328"/>
      <c r="AP13" s="349" t="s">
        <v>29</v>
      </c>
      <c r="AQ13" s="349"/>
      <c r="AR13" s="330" t="s">
        <v>24</v>
      </c>
      <c r="AS13" s="330"/>
      <c r="AT13" s="330"/>
      <c r="AU13" s="330"/>
      <c r="AV13" s="330"/>
      <c r="AW13" s="330"/>
      <c r="AX13" s="330"/>
      <c r="AY13" s="330"/>
      <c r="AZ13" s="330"/>
      <c r="BA13" s="330"/>
      <c r="BB13" s="330"/>
      <c r="BC13" s="243"/>
      <c r="BD13" s="243"/>
      <c r="BE13" s="243"/>
      <c r="BF13" s="243"/>
      <c r="BG13" s="4"/>
      <c r="BH13" s="2"/>
      <c r="BI13" s="244"/>
      <c r="BJ13" s="244"/>
      <c r="BN13" s="5"/>
    </row>
    <row r="14" spans="1:67" x14ac:dyDescent="0.2">
      <c r="A14" s="3"/>
      <c r="B14" s="328"/>
      <c r="C14" s="344" t="s">
        <v>267</v>
      </c>
      <c r="D14" s="344"/>
      <c r="E14" s="302"/>
      <c r="F14" s="344" t="s">
        <v>268</v>
      </c>
      <c r="G14" s="344"/>
      <c r="H14" s="344"/>
      <c r="I14" s="344"/>
      <c r="J14" s="344"/>
      <c r="K14" s="344"/>
      <c r="L14" s="344"/>
      <c r="M14" s="344"/>
      <c r="N14" s="344"/>
      <c r="O14" s="344"/>
      <c r="P14" s="344"/>
      <c r="Q14" s="344"/>
      <c r="R14" s="344"/>
      <c r="S14" s="330"/>
      <c r="T14" s="330"/>
      <c r="U14" s="330"/>
      <c r="V14" s="330"/>
      <c r="W14" s="302"/>
      <c r="X14" s="349" t="s">
        <v>68</v>
      </c>
      <c r="Y14" s="349"/>
      <c r="Z14" s="344" t="s">
        <v>71</v>
      </c>
      <c r="AA14" s="344"/>
      <c r="AB14" s="344"/>
      <c r="AC14" s="344"/>
      <c r="AD14" s="344"/>
      <c r="AE14" s="344"/>
      <c r="AF14" s="344"/>
      <c r="AG14" s="344"/>
      <c r="AH14" s="344"/>
      <c r="AI14" s="344"/>
      <c r="AJ14" s="344"/>
      <c r="AK14" s="302"/>
      <c r="AL14" s="302"/>
      <c r="AM14" s="302"/>
      <c r="AN14" s="302"/>
      <c r="AO14" s="302"/>
      <c r="AP14" s="349" t="s">
        <v>31</v>
      </c>
      <c r="AQ14" s="349"/>
      <c r="AR14" s="344" t="s">
        <v>26</v>
      </c>
      <c r="AS14" s="344"/>
      <c r="AT14" s="344"/>
      <c r="AU14" s="344"/>
      <c r="AV14" s="344"/>
      <c r="AW14" s="344"/>
      <c r="AX14" s="344"/>
      <c r="AY14" s="344"/>
      <c r="AZ14" s="344"/>
      <c r="BA14" s="344"/>
      <c r="BB14" s="344"/>
      <c r="BC14" s="243"/>
      <c r="BD14" s="243"/>
      <c r="BE14" s="243"/>
      <c r="BF14" s="243"/>
      <c r="BG14" s="4"/>
      <c r="BH14" s="2"/>
      <c r="BI14" s="234"/>
      <c r="BJ14" s="234"/>
    </row>
    <row r="15" spans="1:67" ht="12.75" customHeight="1" x14ac:dyDescent="0.2">
      <c r="B15" s="302"/>
      <c r="C15" s="302"/>
      <c r="D15" s="302"/>
      <c r="E15" s="302"/>
      <c r="F15" s="302"/>
      <c r="G15" s="302"/>
      <c r="H15" s="302"/>
      <c r="I15" s="302"/>
      <c r="J15" s="302"/>
      <c r="K15" s="302"/>
      <c r="L15" s="302"/>
      <c r="M15" s="302"/>
      <c r="N15" s="302"/>
      <c r="O15" s="302"/>
      <c r="P15" s="302"/>
      <c r="Q15" s="302"/>
      <c r="R15" s="302"/>
      <c r="S15" s="302"/>
      <c r="T15" s="302"/>
      <c r="U15" s="302"/>
      <c r="V15" s="302"/>
      <c r="W15" s="302"/>
      <c r="X15" s="302"/>
      <c r="Y15" s="302"/>
      <c r="Z15" s="302"/>
      <c r="AA15" s="302"/>
      <c r="AB15" s="302"/>
      <c r="AC15" s="302"/>
      <c r="AD15" s="302"/>
      <c r="AE15" s="302"/>
      <c r="AF15" s="302"/>
      <c r="AG15" s="302"/>
      <c r="AH15" s="302"/>
      <c r="AI15" s="302"/>
      <c r="AJ15" s="302"/>
      <c r="AK15" s="302"/>
      <c r="AL15" s="302"/>
      <c r="AM15" s="302"/>
      <c r="AN15" s="302"/>
      <c r="AO15" s="302"/>
      <c r="AP15" s="302"/>
      <c r="AQ15" s="302"/>
      <c r="AR15" s="302"/>
      <c r="AS15" s="302"/>
      <c r="AT15" s="302"/>
      <c r="AU15" s="302"/>
      <c r="AV15" s="302"/>
      <c r="AW15" s="302"/>
      <c r="AX15" s="302"/>
      <c r="AY15" s="302"/>
      <c r="AZ15" s="302"/>
      <c r="BA15" s="302"/>
      <c r="BB15" s="302"/>
      <c r="BC15" s="243"/>
      <c r="BD15" s="243"/>
      <c r="BE15" s="243"/>
      <c r="BF15" s="243"/>
      <c r="BG15" s="4"/>
      <c r="BH15" s="2"/>
    </row>
    <row r="16" spans="1:67" ht="13.2" x14ac:dyDescent="0.25">
      <c r="B16" s="305"/>
      <c r="C16" s="307"/>
      <c r="D16" s="307"/>
      <c r="E16" s="307"/>
      <c r="F16" s="307"/>
      <c r="G16" s="307"/>
      <c r="H16" s="307"/>
      <c r="I16" s="307"/>
      <c r="J16" s="307"/>
      <c r="K16" s="307"/>
      <c r="L16" s="307"/>
      <c r="M16" s="307"/>
      <c r="N16" s="307"/>
      <c r="O16" s="307"/>
      <c r="P16" s="307"/>
      <c r="Q16" s="307"/>
      <c r="R16" s="307"/>
      <c r="S16" s="307"/>
      <c r="T16" s="307"/>
      <c r="U16" s="303"/>
      <c r="V16" s="303"/>
      <c r="W16" s="303"/>
      <c r="X16" s="303"/>
      <c r="Y16" s="303"/>
      <c r="Z16" s="303"/>
      <c r="AA16" s="303"/>
      <c r="AB16" s="303"/>
      <c r="AC16" s="303"/>
      <c r="AD16" s="303"/>
      <c r="AE16" s="303"/>
      <c r="AF16" s="303"/>
      <c r="AG16" s="303"/>
      <c r="AH16" s="308"/>
      <c r="AI16" s="308"/>
      <c r="AJ16" s="308"/>
      <c r="AK16" s="308"/>
      <c r="AL16" s="308"/>
      <c r="AM16" s="308"/>
      <c r="AN16" s="308"/>
      <c r="AO16" s="308"/>
      <c r="AP16" s="308"/>
      <c r="AQ16" s="308"/>
      <c r="AR16" s="308"/>
      <c r="AS16" s="308"/>
      <c r="AT16" s="308"/>
      <c r="AU16" s="307"/>
      <c r="AV16" s="307"/>
      <c r="AW16" s="307"/>
      <c r="AX16" s="307"/>
      <c r="AY16" s="307"/>
      <c r="AZ16" s="307"/>
      <c r="BA16" s="307"/>
      <c r="BB16" s="307"/>
      <c r="BC16" s="236"/>
      <c r="BD16" s="236"/>
      <c r="BE16" s="236"/>
      <c r="BF16" s="236"/>
      <c r="BG16" s="236"/>
      <c r="BH16" s="236"/>
    </row>
    <row r="17" spans="2:60" ht="12.75" customHeight="1" x14ac:dyDescent="0.25">
      <c r="B17" s="235"/>
      <c r="C17" s="236"/>
      <c r="D17" s="236"/>
      <c r="E17" s="236"/>
      <c r="F17" s="236"/>
      <c r="G17" s="236"/>
      <c r="H17" s="236"/>
      <c r="I17" s="236"/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4"/>
      <c r="V17" s="234"/>
      <c r="W17" s="234"/>
      <c r="X17" s="234"/>
      <c r="Y17" s="234"/>
      <c r="Z17" s="234"/>
      <c r="AA17" s="234"/>
      <c r="AB17" s="234"/>
      <c r="AC17" s="234"/>
      <c r="AD17" s="234"/>
      <c r="AE17" s="234"/>
      <c r="AF17" s="234"/>
      <c r="AG17" s="234"/>
      <c r="AH17" s="237"/>
      <c r="AI17" s="237"/>
      <c r="AJ17" s="237"/>
      <c r="AK17" s="237"/>
      <c r="AL17" s="237"/>
      <c r="AM17" s="237"/>
      <c r="AN17" s="237"/>
      <c r="AO17" s="237"/>
      <c r="AP17" s="237"/>
      <c r="AQ17" s="237"/>
      <c r="AR17" s="237"/>
      <c r="AS17" s="237"/>
      <c r="AT17" s="237"/>
      <c r="AU17" s="236"/>
      <c r="AV17" s="236"/>
      <c r="AW17" s="236"/>
      <c r="AX17" s="236"/>
      <c r="AY17" s="236"/>
      <c r="AZ17" s="236"/>
      <c r="BA17" s="236"/>
      <c r="BB17" s="236"/>
      <c r="BC17" s="236"/>
      <c r="BD17" s="236"/>
      <c r="BE17" s="236"/>
      <c r="BF17" s="236"/>
      <c r="BG17" s="236"/>
      <c r="BH17" s="236"/>
    </row>
    <row r="18" spans="2:60" ht="13.5" customHeight="1" x14ac:dyDescent="0.25">
      <c r="B18" s="235"/>
      <c r="C18" s="236"/>
      <c r="D18" s="236"/>
      <c r="E18" s="236"/>
      <c r="F18" s="236"/>
      <c r="G18" s="236"/>
      <c r="H18" s="236"/>
      <c r="I18" s="236"/>
      <c r="J18" s="236"/>
      <c r="K18" s="236"/>
      <c r="L18" s="236"/>
      <c r="M18" s="236"/>
      <c r="N18" s="236"/>
      <c r="O18" s="236"/>
      <c r="P18" s="236"/>
      <c r="Q18" s="236"/>
      <c r="R18" s="236"/>
      <c r="S18" s="236"/>
      <c r="T18" s="236"/>
      <c r="U18" s="234"/>
      <c r="V18" s="234"/>
      <c r="W18" s="234"/>
      <c r="X18" s="234"/>
      <c r="Y18" s="234"/>
      <c r="Z18" s="234"/>
      <c r="AA18" s="234"/>
      <c r="AB18" s="234"/>
      <c r="AC18" s="234"/>
      <c r="AD18" s="234"/>
      <c r="AE18" s="234"/>
      <c r="AF18" s="234"/>
      <c r="AG18" s="234"/>
      <c r="AH18" s="237"/>
      <c r="AI18" s="237"/>
      <c r="AJ18" s="237"/>
      <c r="AK18" s="237"/>
      <c r="AL18" s="237"/>
      <c r="AM18" s="237"/>
      <c r="AN18" s="237"/>
      <c r="AO18" s="237"/>
      <c r="AP18" s="237"/>
      <c r="AQ18" s="237"/>
      <c r="AR18" s="237"/>
      <c r="AS18" s="237"/>
      <c r="AT18" s="237"/>
      <c r="AU18" s="236"/>
      <c r="AV18" s="236"/>
      <c r="AW18" s="236"/>
      <c r="AX18" s="236"/>
      <c r="AY18" s="236"/>
      <c r="AZ18" s="236"/>
      <c r="BA18" s="236"/>
      <c r="BB18" s="236"/>
      <c r="BC18" s="236"/>
      <c r="BD18" s="236"/>
      <c r="BE18" s="236"/>
      <c r="BF18" s="236"/>
      <c r="BG18" s="236"/>
      <c r="BH18" s="236"/>
    </row>
    <row r="32" spans="2:60" ht="11.25" customHeight="1" x14ac:dyDescent="0.2"/>
    <row r="33" ht="12" customHeight="1" x14ac:dyDescent="0.2"/>
  </sheetData>
  <mergeCells count="32">
    <mergeCell ref="F13:O13"/>
    <mergeCell ref="X13:Y13"/>
    <mergeCell ref="AP13:AQ13"/>
    <mergeCell ref="Z14:AJ14"/>
    <mergeCell ref="AP14:AQ14"/>
    <mergeCell ref="AU4:AX4"/>
    <mergeCell ref="AY4:BB4"/>
    <mergeCell ref="C6:T6"/>
    <mergeCell ref="X6:AQ6"/>
    <mergeCell ref="AR14:BB14"/>
    <mergeCell ref="M11:AG11"/>
    <mergeCell ref="AM9:AR9"/>
    <mergeCell ref="AI9:AL9"/>
    <mergeCell ref="AC9:AH9"/>
    <mergeCell ref="C14:D14"/>
    <mergeCell ref="F14:R14"/>
    <mergeCell ref="X14:Y14"/>
    <mergeCell ref="C12:D12"/>
    <mergeCell ref="X12:Y12"/>
    <mergeCell ref="AP12:AQ12"/>
    <mergeCell ref="C13:D13"/>
    <mergeCell ref="AH2:AT2"/>
    <mergeCell ref="C4:G4"/>
    <mergeCell ref="H4:K4"/>
    <mergeCell ref="L4:O4"/>
    <mergeCell ref="P4:T4"/>
    <mergeCell ref="U4:Y4"/>
    <mergeCell ref="Z4:AC4"/>
    <mergeCell ref="AD4:AH4"/>
    <mergeCell ref="AI4:AL4"/>
    <mergeCell ref="AM4:AP4"/>
    <mergeCell ref="AQ4:AT4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>
      <selection activeCell="F20" sqref="F20"/>
    </sheetView>
  </sheetViews>
  <sheetFormatPr defaultRowHeight="13.2" x14ac:dyDescent="0.25"/>
  <sheetData>
    <row r="1" spans="1:11" ht="13.8" x14ac:dyDescent="0.25">
      <c r="A1" s="352" t="s">
        <v>269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</row>
    <row r="2" spans="1:11" ht="13.8" x14ac:dyDescent="0.25">
      <c r="A2" s="248"/>
      <c r="B2" s="248"/>
      <c r="C2" s="248"/>
      <c r="D2" s="248"/>
      <c r="E2" s="248"/>
      <c r="F2" s="248"/>
      <c r="G2" s="248"/>
      <c r="H2" s="248"/>
      <c r="I2" s="248"/>
      <c r="J2" s="248"/>
      <c r="K2" s="248"/>
    </row>
    <row r="3" spans="1:11" ht="75.75" customHeight="1" x14ac:dyDescent="0.25">
      <c r="A3" s="353" t="s">
        <v>270</v>
      </c>
      <c r="B3" s="353" t="s">
        <v>123</v>
      </c>
      <c r="C3" s="353"/>
      <c r="D3" s="353"/>
      <c r="E3" s="353" t="s">
        <v>27</v>
      </c>
      <c r="F3" s="353" t="s">
        <v>271</v>
      </c>
      <c r="G3" s="353" t="s">
        <v>272</v>
      </c>
      <c r="H3" s="353" t="s">
        <v>34</v>
      </c>
      <c r="I3" s="353" t="s">
        <v>273</v>
      </c>
      <c r="J3" s="353" t="s">
        <v>274</v>
      </c>
      <c r="K3" s="353" t="s">
        <v>275</v>
      </c>
    </row>
    <row r="4" spans="1:11" ht="13.8" x14ac:dyDescent="0.25">
      <c r="A4" s="353"/>
      <c r="B4" s="249" t="s">
        <v>276</v>
      </c>
      <c r="C4" s="249" t="s">
        <v>277</v>
      </c>
      <c r="D4" s="249" t="s">
        <v>278</v>
      </c>
      <c r="E4" s="353"/>
      <c r="F4" s="353"/>
      <c r="G4" s="353"/>
      <c r="H4" s="353"/>
      <c r="I4" s="353"/>
      <c r="J4" s="353"/>
      <c r="K4" s="353"/>
    </row>
    <row r="5" spans="1:11" ht="12.75" customHeight="1" x14ac:dyDescent="0.25">
      <c r="A5" s="350" t="s">
        <v>12</v>
      </c>
      <c r="B5" s="350">
        <v>38</v>
      </c>
      <c r="C5" s="350">
        <v>1368</v>
      </c>
      <c r="D5" s="350">
        <f>C5/24</f>
        <v>57</v>
      </c>
      <c r="E5" s="350">
        <v>72</v>
      </c>
      <c r="F5" s="350"/>
      <c r="G5" s="350"/>
      <c r="H5" s="350"/>
      <c r="I5" s="350">
        <v>36</v>
      </c>
      <c r="J5" s="350">
        <v>11</v>
      </c>
      <c r="K5" s="350">
        <v>52</v>
      </c>
    </row>
    <row r="6" spans="1:11" ht="12.75" customHeight="1" x14ac:dyDescent="0.25">
      <c r="A6" s="351"/>
      <c r="B6" s="351"/>
      <c r="C6" s="351"/>
      <c r="D6" s="351"/>
      <c r="E6" s="351"/>
      <c r="F6" s="351"/>
      <c r="G6" s="351"/>
      <c r="H6" s="351"/>
      <c r="I6" s="351"/>
      <c r="J6" s="351"/>
      <c r="K6" s="351"/>
    </row>
    <row r="7" spans="1:11" ht="12.75" customHeight="1" x14ac:dyDescent="0.25">
      <c r="A7" s="353" t="s">
        <v>13</v>
      </c>
      <c r="B7" s="353">
        <v>25.5</v>
      </c>
      <c r="C7" s="350">
        <v>906</v>
      </c>
      <c r="D7" s="350">
        <f t="shared" ref="D7" si="0">C7/24</f>
        <v>37.75</v>
      </c>
      <c r="E7" s="353">
        <v>72</v>
      </c>
      <c r="F7" s="350">
        <v>462</v>
      </c>
      <c r="G7" s="353"/>
      <c r="H7" s="353"/>
      <c r="I7" s="353">
        <v>36</v>
      </c>
      <c r="J7" s="353">
        <v>11</v>
      </c>
      <c r="K7" s="353">
        <v>52</v>
      </c>
    </row>
    <row r="8" spans="1:11" ht="12.75" customHeight="1" x14ac:dyDescent="0.25">
      <c r="A8" s="353"/>
      <c r="B8" s="353"/>
      <c r="C8" s="351"/>
      <c r="D8" s="351"/>
      <c r="E8" s="353"/>
      <c r="F8" s="351"/>
      <c r="G8" s="353"/>
      <c r="H8" s="353"/>
      <c r="I8" s="353"/>
      <c r="J8" s="353"/>
      <c r="K8" s="353"/>
    </row>
    <row r="9" spans="1:11" ht="12.75" customHeight="1" x14ac:dyDescent="0.25">
      <c r="A9" s="353" t="s">
        <v>14</v>
      </c>
      <c r="B9" s="353">
        <v>23.5</v>
      </c>
      <c r="C9" s="350">
        <v>846</v>
      </c>
      <c r="D9" s="350">
        <f t="shared" ref="D9" si="1">C9/24</f>
        <v>35.25</v>
      </c>
      <c r="E9" s="353">
        <v>72</v>
      </c>
      <c r="F9" s="350">
        <v>522</v>
      </c>
      <c r="G9" s="353"/>
      <c r="H9" s="353"/>
      <c r="I9" s="353">
        <v>36</v>
      </c>
      <c r="J9" s="353">
        <v>11</v>
      </c>
      <c r="K9" s="353">
        <v>52</v>
      </c>
    </row>
    <row r="10" spans="1:11" ht="12.75" customHeight="1" x14ac:dyDescent="0.25">
      <c r="A10" s="353"/>
      <c r="B10" s="353"/>
      <c r="C10" s="351"/>
      <c r="D10" s="351"/>
      <c r="E10" s="353"/>
      <c r="F10" s="351"/>
      <c r="G10" s="353"/>
      <c r="H10" s="353"/>
      <c r="I10" s="353"/>
      <c r="J10" s="353"/>
      <c r="K10" s="353"/>
    </row>
    <row r="11" spans="1:11" ht="12.75" customHeight="1" x14ac:dyDescent="0.25">
      <c r="A11" s="353" t="s">
        <v>15</v>
      </c>
      <c r="B11" s="353">
        <v>18.5</v>
      </c>
      <c r="C11" s="350">
        <v>672</v>
      </c>
      <c r="D11" s="350">
        <f t="shared" ref="D11" si="2">C11/24</f>
        <v>28</v>
      </c>
      <c r="E11" s="353">
        <v>36</v>
      </c>
      <c r="F11" s="350">
        <v>480</v>
      </c>
      <c r="G11" s="353">
        <v>216</v>
      </c>
      <c r="H11" s="353">
        <v>36</v>
      </c>
      <c r="I11" s="353">
        <v>36</v>
      </c>
      <c r="J11" s="353">
        <v>2</v>
      </c>
      <c r="K11" s="353">
        <v>43</v>
      </c>
    </row>
    <row r="12" spans="1:11" ht="12.75" customHeight="1" x14ac:dyDescent="0.25">
      <c r="A12" s="353"/>
      <c r="B12" s="353"/>
      <c r="C12" s="351"/>
      <c r="D12" s="351"/>
      <c r="E12" s="353"/>
      <c r="F12" s="351"/>
      <c r="G12" s="353"/>
      <c r="H12" s="353"/>
      <c r="I12" s="353"/>
      <c r="J12" s="353"/>
      <c r="K12" s="353"/>
    </row>
    <row r="13" spans="1:11" ht="12.75" customHeight="1" x14ac:dyDescent="0.25">
      <c r="A13" s="353" t="s">
        <v>279</v>
      </c>
      <c r="B13" s="353">
        <f>SUM(B5:B11)</f>
        <v>105.5</v>
      </c>
      <c r="C13" s="353">
        <f t="shared" ref="C13:K13" si="3">SUM(C5:C11)</f>
        <v>3792</v>
      </c>
      <c r="D13" s="353">
        <f t="shared" si="3"/>
        <v>158</v>
      </c>
      <c r="E13" s="353">
        <f t="shared" si="3"/>
        <v>252</v>
      </c>
      <c r="F13" s="353">
        <f t="shared" si="3"/>
        <v>1464</v>
      </c>
      <c r="G13" s="353">
        <f t="shared" si="3"/>
        <v>216</v>
      </c>
      <c r="H13" s="353">
        <f t="shared" si="3"/>
        <v>36</v>
      </c>
      <c r="I13" s="353">
        <f t="shared" si="3"/>
        <v>144</v>
      </c>
      <c r="J13" s="353">
        <f t="shared" si="3"/>
        <v>35</v>
      </c>
      <c r="K13" s="353">
        <f t="shared" si="3"/>
        <v>199</v>
      </c>
    </row>
    <row r="14" spans="1:11" ht="12.75" customHeight="1" x14ac:dyDescent="0.25">
      <c r="A14" s="353"/>
      <c r="B14" s="353"/>
      <c r="C14" s="353"/>
      <c r="D14" s="353"/>
      <c r="E14" s="353"/>
      <c r="F14" s="353"/>
      <c r="G14" s="353"/>
      <c r="H14" s="353"/>
      <c r="I14" s="353"/>
      <c r="J14" s="353"/>
      <c r="K14" s="353"/>
    </row>
    <row r="15" spans="1:11" ht="13.8" x14ac:dyDescent="0.25">
      <c r="A15" s="248"/>
      <c r="B15" s="248"/>
      <c r="C15" s="248"/>
      <c r="D15" s="248"/>
      <c r="E15" s="248"/>
      <c r="F15" s="248"/>
      <c r="G15" s="248"/>
      <c r="H15" s="248"/>
      <c r="I15" s="248"/>
      <c r="J15" s="248"/>
      <c r="K15" s="248"/>
    </row>
    <row r="16" spans="1:11" ht="13.8" x14ac:dyDescent="0.25">
      <c r="A16" s="248"/>
      <c r="B16" s="248"/>
      <c r="C16" s="248"/>
      <c r="D16" s="248"/>
      <c r="E16" s="248"/>
      <c r="F16" s="248"/>
      <c r="G16" s="248"/>
      <c r="H16" s="248"/>
      <c r="I16" s="248"/>
      <c r="J16" s="248"/>
      <c r="K16" s="248"/>
    </row>
  </sheetData>
  <mergeCells count="65">
    <mergeCell ref="J13:J14"/>
    <mergeCell ref="K13:K14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G13:G14"/>
    <mergeCell ref="H13:H14"/>
    <mergeCell ref="I13:I14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F5:F6"/>
    <mergeCell ref="A1:K1"/>
    <mergeCell ref="A3:A4"/>
    <mergeCell ref="B3:D3"/>
    <mergeCell ref="E3:E4"/>
    <mergeCell ref="F3:F4"/>
    <mergeCell ref="G3:G4"/>
    <mergeCell ref="H3:H4"/>
    <mergeCell ref="I3:I4"/>
    <mergeCell ref="J3:J4"/>
    <mergeCell ref="K3:K4"/>
    <mergeCell ref="A5:A6"/>
    <mergeCell ref="B5:B6"/>
    <mergeCell ref="C5:C6"/>
    <mergeCell ref="D5:D6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44"/>
  <sheetViews>
    <sheetView tabSelected="1" topLeftCell="A66" zoomScaleNormal="100" workbookViewId="0">
      <selection activeCell="B76" sqref="B76"/>
    </sheetView>
  </sheetViews>
  <sheetFormatPr defaultColWidth="9.109375" defaultRowHeight="13.2" outlineLevelRow="4" outlineLevelCol="2" x14ac:dyDescent="0.25"/>
  <cols>
    <col min="1" max="1" width="8.5546875" style="7" customWidth="1"/>
    <col min="2" max="2" width="26.88671875" style="7" customWidth="1"/>
    <col min="3" max="6" width="3.88671875" style="7" customWidth="1"/>
    <col min="7" max="7" width="4.88671875" style="7" customWidth="1"/>
    <col min="8" max="8" width="5.33203125" style="143" customWidth="1" outlineLevel="1"/>
    <col min="9" max="9" width="6" style="7" customWidth="1" outlineLevel="1"/>
    <col min="10" max="10" width="5.6640625" style="7" customWidth="1" outlineLevel="1"/>
    <col min="11" max="13" width="4.6640625" style="7" customWidth="1" outlineLevel="1"/>
    <col min="14" max="14" width="5.109375" style="7" customWidth="1" outlineLevel="1"/>
    <col min="15" max="16" width="4.6640625" style="7" customWidth="1" outlineLevel="1"/>
    <col min="17" max="17" width="5.44140625" style="7" customWidth="1" outlineLevel="2"/>
    <col min="18" max="20" width="5" style="7" customWidth="1" outlineLevel="2"/>
    <col min="21" max="21" width="5.6640625" style="7" customWidth="1" outlineLevel="2"/>
    <col min="22" max="22" width="5.33203125" style="7" customWidth="1" outlineLevel="1"/>
    <col min="23" max="23" width="5.44140625" style="45" customWidth="1" outlineLevel="1"/>
    <col min="24" max="24" width="5.44140625" style="7" customWidth="1" outlineLevel="1"/>
    <col min="25" max="25" width="9.109375" style="193"/>
    <col min="26" max="26" width="9.109375" style="7"/>
    <col min="27" max="27" width="9.109375" style="143"/>
    <col min="28" max="16384" width="9.109375" style="7"/>
  </cols>
  <sheetData>
    <row r="1" spans="1:37" ht="21" customHeight="1" x14ac:dyDescent="0.25">
      <c r="A1" s="366" t="s">
        <v>280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  <c r="X1" s="366"/>
      <c r="Y1" s="191"/>
    </row>
    <row r="2" spans="1:37" ht="18" customHeight="1" x14ac:dyDescent="0.25">
      <c r="A2" s="367" t="s">
        <v>38</v>
      </c>
      <c r="B2" s="370" t="s">
        <v>255</v>
      </c>
      <c r="C2" s="376" t="s">
        <v>77</v>
      </c>
      <c r="D2" s="377"/>
      <c r="E2" s="377"/>
      <c r="F2" s="377"/>
      <c r="G2" s="378"/>
      <c r="H2" s="354" t="s">
        <v>249</v>
      </c>
      <c r="I2" s="355"/>
      <c r="J2" s="355"/>
      <c r="K2" s="356"/>
      <c r="L2" s="365" t="s">
        <v>253</v>
      </c>
      <c r="M2" s="365" t="s">
        <v>254</v>
      </c>
      <c r="N2" s="354" t="s">
        <v>250</v>
      </c>
      <c r="O2" s="355"/>
      <c r="P2" s="356"/>
      <c r="Q2" s="354" t="s">
        <v>40</v>
      </c>
      <c r="R2" s="355"/>
      <c r="S2" s="355"/>
      <c r="T2" s="355"/>
      <c r="U2" s="355"/>
      <c r="V2" s="355"/>
      <c r="W2" s="355"/>
      <c r="X2" s="356"/>
      <c r="Y2" s="192"/>
    </row>
    <row r="3" spans="1:37" ht="12.75" customHeight="1" x14ac:dyDescent="0.25">
      <c r="A3" s="368"/>
      <c r="B3" s="371"/>
      <c r="C3" s="375" t="s">
        <v>81</v>
      </c>
      <c r="D3" s="367" t="s">
        <v>53</v>
      </c>
      <c r="E3" s="357" t="s">
        <v>39</v>
      </c>
      <c r="F3" s="357" t="s">
        <v>82</v>
      </c>
      <c r="G3" s="357" t="s">
        <v>256</v>
      </c>
      <c r="H3" s="373" t="s">
        <v>16</v>
      </c>
      <c r="I3" s="354" t="s">
        <v>251</v>
      </c>
      <c r="J3" s="355"/>
      <c r="K3" s="356"/>
      <c r="L3" s="365"/>
      <c r="M3" s="365"/>
      <c r="N3" s="354" t="s">
        <v>252</v>
      </c>
      <c r="O3" s="355"/>
      <c r="P3" s="356"/>
      <c r="Q3" s="379" t="s">
        <v>17</v>
      </c>
      <c r="R3" s="379"/>
      <c r="S3" s="379" t="s">
        <v>18</v>
      </c>
      <c r="T3" s="379"/>
      <c r="U3" s="379" t="s">
        <v>19</v>
      </c>
      <c r="V3" s="379"/>
      <c r="W3" s="354" t="s">
        <v>20</v>
      </c>
      <c r="X3" s="356"/>
    </row>
    <row r="4" spans="1:37" ht="108.75" customHeight="1" x14ac:dyDescent="0.25">
      <c r="A4" s="369"/>
      <c r="B4" s="372"/>
      <c r="C4" s="375"/>
      <c r="D4" s="369"/>
      <c r="E4" s="358"/>
      <c r="F4" s="358"/>
      <c r="G4" s="358"/>
      <c r="H4" s="374"/>
      <c r="I4" s="14" t="s">
        <v>123</v>
      </c>
      <c r="J4" s="14" t="s">
        <v>83</v>
      </c>
      <c r="K4" s="232" t="s">
        <v>86</v>
      </c>
      <c r="L4" s="365"/>
      <c r="M4" s="365"/>
      <c r="N4" s="231" t="s">
        <v>84</v>
      </c>
      <c r="O4" s="15" t="s">
        <v>85</v>
      </c>
      <c r="P4" s="233" t="s">
        <v>257</v>
      </c>
      <c r="Q4" s="16" t="s">
        <v>75</v>
      </c>
      <c r="R4" s="17" t="s">
        <v>76</v>
      </c>
      <c r="S4" s="17" t="s">
        <v>124</v>
      </c>
      <c r="T4" s="17" t="s">
        <v>125</v>
      </c>
      <c r="U4" s="17" t="s">
        <v>126</v>
      </c>
      <c r="V4" s="17" t="s">
        <v>127</v>
      </c>
      <c r="W4" s="44" t="s">
        <v>297</v>
      </c>
      <c r="X4" s="17" t="s">
        <v>303</v>
      </c>
      <c r="Z4" s="13"/>
      <c r="AA4" s="155"/>
      <c r="AB4" s="13"/>
      <c r="AC4" s="13"/>
      <c r="AD4" s="13"/>
      <c r="AE4" s="13"/>
      <c r="AF4" s="13"/>
      <c r="AG4" s="13"/>
      <c r="AH4" s="13"/>
      <c r="AI4" s="13"/>
      <c r="AJ4" s="13"/>
      <c r="AK4" s="13"/>
    </row>
    <row r="5" spans="1:37" s="20" customFormat="1" x14ac:dyDescent="0.25">
      <c r="A5" s="18">
        <v>1</v>
      </c>
      <c r="B5" s="12">
        <v>2</v>
      </c>
      <c r="C5" s="12">
        <v>3</v>
      </c>
      <c r="D5" s="12">
        <v>4</v>
      </c>
      <c r="E5" s="12">
        <v>5</v>
      </c>
      <c r="F5" s="380"/>
      <c r="G5" s="12">
        <v>6</v>
      </c>
      <c r="H5" s="136">
        <v>7</v>
      </c>
      <c r="I5" s="12">
        <v>8</v>
      </c>
      <c r="J5" s="19">
        <v>9</v>
      </c>
      <c r="K5" s="19">
        <v>10</v>
      </c>
      <c r="L5" s="19">
        <v>11</v>
      </c>
      <c r="M5" s="19">
        <v>12</v>
      </c>
      <c r="N5" s="19">
        <v>13</v>
      </c>
      <c r="O5" s="19">
        <v>14</v>
      </c>
      <c r="P5" s="19">
        <v>15</v>
      </c>
      <c r="Q5" s="19">
        <v>16</v>
      </c>
      <c r="R5" s="19">
        <v>17</v>
      </c>
      <c r="S5" s="19">
        <v>18</v>
      </c>
      <c r="T5" s="19">
        <v>19</v>
      </c>
      <c r="U5" s="19">
        <v>20</v>
      </c>
      <c r="V5" s="19">
        <v>21</v>
      </c>
      <c r="W5" s="19">
        <v>22</v>
      </c>
      <c r="X5" s="19">
        <v>23</v>
      </c>
      <c r="Y5" s="193"/>
      <c r="Z5" s="30"/>
      <c r="AA5" s="155"/>
      <c r="AB5" s="30"/>
      <c r="AC5" s="30"/>
      <c r="AD5" s="30"/>
      <c r="AE5" s="30"/>
      <c r="AF5" s="30"/>
      <c r="AG5" s="30"/>
      <c r="AH5" s="30"/>
      <c r="AI5" s="30"/>
      <c r="AJ5" s="30"/>
      <c r="AK5" s="30"/>
    </row>
    <row r="6" spans="1:37" s="20" customFormat="1" x14ac:dyDescent="0.25">
      <c r="A6" s="18"/>
      <c r="B6" s="12" t="s">
        <v>25</v>
      </c>
      <c r="C6" s="12"/>
      <c r="D6" s="19"/>
      <c r="E6" s="19"/>
      <c r="F6" s="19"/>
      <c r="G6" s="19"/>
      <c r="H6" s="136"/>
      <c r="I6" s="12"/>
      <c r="J6" s="12"/>
      <c r="K6" s="12"/>
      <c r="L6" s="229"/>
      <c r="M6" s="229"/>
      <c r="N6" s="46"/>
      <c r="O6" s="12"/>
      <c r="P6" s="229"/>
      <c r="Q6" s="12">
        <v>18</v>
      </c>
      <c r="R6" s="12">
        <v>20</v>
      </c>
      <c r="S6" s="199">
        <v>22</v>
      </c>
      <c r="T6" s="199">
        <v>16</v>
      </c>
      <c r="U6" s="199">
        <v>22</v>
      </c>
      <c r="V6" s="199">
        <v>16</v>
      </c>
      <c r="W6" s="47">
        <v>16</v>
      </c>
      <c r="X6" s="12">
        <v>16</v>
      </c>
      <c r="Y6" s="193"/>
      <c r="Z6" s="30"/>
      <c r="AA6" s="155"/>
      <c r="AB6" s="30"/>
      <c r="AC6" s="30"/>
      <c r="AD6" s="30"/>
      <c r="AE6" s="30"/>
      <c r="AF6" s="30"/>
      <c r="AG6" s="30"/>
      <c r="AH6" s="30"/>
      <c r="AI6" s="30"/>
      <c r="AJ6" s="30"/>
      <c r="AK6" s="30"/>
    </row>
    <row r="7" spans="1:37" s="260" customFormat="1" ht="12" x14ac:dyDescent="0.25">
      <c r="A7" s="253"/>
      <c r="B7" s="254" t="s">
        <v>23</v>
      </c>
      <c r="C7" s="255"/>
      <c r="D7" s="256"/>
      <c r="E7" s="256"/>
      <c r="F7" s="256"/>
      <c r="G7" s="256"/>
      <c r="H7" s="255"/>
      <c r="I7" s="255"/>
      <c r="J7" s="255"/>
      <c r="K7" s="255"/>
      <c r="L7" s="255"/>
      <c r="M7" s="255"/>
      <c r="N7" s="255"/>
      <c r="O7" s="255"/>
      <c r="P7" s="255"/>
      <c r="Q7" s="257">
        <f>SUM(Q9:Q23)/Q6</f>
        <v>36</v>
      </c>
      <c r="R7" s="257">
        <f>SUM(R9:R23)/R6</f>
        <v>36</v>
      </c>
      <c r="S7" s="257">
        <f ca="1">(S58-36)/S6</f>
        <v>36</v>
      </c>
      <c r="T7" s="257">
        <f>(T58-36)/T6</f>
        <v>36</v>
      </c>
      <c r="U7" s="257">
        <f>(U86-36)/U6</f>
        <v>36</v>
      </c>
      <c r="V7" s="257">
        <f>(V86-36)/V6</f>
        <v>36</v>
      </c>
      <c r="W7" s="257">
        <f>(W104-36)/W6</f>
        <v>36</v>
      </c>
      <c r="X7" s="257">
        <f>(X104-36-216)/X6</f>
        <v>36</v>
      </c>
      <c r="Y7" s="258"/>
      <c r="Z7" s="259"/>
      <c r="AA7" s="259"/>
      <c r="AB7" s="259"/>
      <c r="AC7" s="259"/>
      <c r="AD7" s="259"/>
      <c r="AE7" s="259"/>
      <c r="AF7" s="259"/>
      <c r="AG7" s="259"/>
      <c r="AH7" s="259"/>
      <c r="AI7" s="259"/>
      <c r="AJ7" s="259"/>
      <c r="AK7" s="259"/>
    </row>
    <row r="8" spans="1:37" s="96" customFormat="1" ht="27.6" outlineLevel="3" x14ac:dyDescent="0.25">
      <c r="A8" s="126" t="s">
        <v>227</v>
      </c>
      <c r="B8" s="127" t="s">
        <v>30</v>
      </c>
      <c r="C8" s="24"/>
      <c r="D8" s="24"/>
      <c r="E8" s="24"/>
      <c r="F8" s="24"/>
      <c r="G8" s="24"/>
      <c r="H8" s="10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65"/>
      <c r="X8" s="24"/>
      <c r="Y8" s="100"/>
      <c r="Z8" s="97"/>
      <c r="AA8" s="125"/>
      <c r="AB8" s="97"/>
      <c r="AC8" s="97"/>
      <c r="AD8" s="97"/>
      <c r="AE8" s="97"/>
      <c r="AF8" s="97"/>
      <c r="AG8" s="97"/>
      <c r="AH8" s="97"/>
      <c r="AI8" s="97"/>
      <c r="AJ8" s="97"/>
      <c r="AK8" s="97"/>
    </row>
    <row r="9" spans="1:37" s="96" customFormat="1" outlineLevel="4" x14ac:dyDescent="0.25">
      <c r="A9" s="126" t="s">
        <v>228</v>
      </c>
      <c r="B9" s="24" t="s">
        <v>90</v>
      </c>
      <c r="C9" s="50">
        <v>2</v>
      </c>
      <c r="D9" s="51">
        <v>1</v>
      </c>
      <c r="E9" s="50">
        <v>1</v>
      </c>
      <c r="F9" s="24"/>
      <c r="G9" s="24">
        <f>H9/24</f>
        <v>5</v>
      </c>
      <c r="H9" s="128">
        <v>120</v>
      </c>
      <c r="I9" s="129">
        <v>48</v>
      </c>
      <c r="J9" s="129">
        <v>72</v>
      </c>
      <c r="K9" s="114"/>
      <c r="L9" s="114"/>
      <c r="M9" s="114"/>
      <c r="N9" s="114"/>
      <c r="O9" s="114"/>
      <c r="P9" s="114"/>
      <c r="Q9" s="49">
        <v>48</v>
      </c>
      <c r="R9" s="49">
        <v>72</v>
      </c>
      <c r="S9" s="24"/>
      <c r="T9" s="24"/>
      <c r="U9" s="24"/>
      <c r="V9" s="24"/>
      <c r="W9" s="65"/>
      <c r="X9" s="24"/>
      <c r="Y9" s="100"/>
      <c r="Z9" s="97"/>
      <c r="AA9" s="125"/>
      <c r="AB9" s="97"/>
      <c r="AC9" s="97"/>
      <c r="AD9" s="97"/>
      <c r="AE9" s="97"/>
      <c r="AF9" s="97"/>
      <c r="AG9" s="97"/>
      <c r="AH9" s="97"/>
      <c r="AI9" s="97"/>
      <c r="AJ9" s="97"/>
      <c r="AK9" s="97"/>
    </row>
    <row r="10" spans="1:37" s="96" customFormat="1" outlineLevel="4" x14ac:dyDescent="0.25">
      <c r="A10" s="126" t="s">
        <v>229</v>
      </c>
      <c r="B10" s="24" t="s">
        <v>45</v>
      </c>
      <c r="C10" s="51">
        <v>1</v>
      </c>
      <c r="D10" s="50">
        <v>2</v>
      </c>
      <c r="E10" s="50">
        <v>1</v>
      </c>
      <c r="F10" s="24"/>
      <c r="G10" s="24">
        <f t="shared" ref="G10:G24" si="0">H10/24</f>
        <v>2.5</v>
      </c>
      <c r="H10" s="128">
        <v>60</v>
      </c>
      <c r="I10" s="129">
        <v>23</v>
      </c>
      <c r="J10" s="129">
        <v>37</v>
      </c>
      <c r="K10" s="114"/>
      <c r="L10" s="114"/>
      <c r="M10" s="114"/>
      <c r="N10" s="114"/>
      <c r="O10" s="114"/>
      <c r="P10" s="114"/>
      <c r="Q10" s="49">
        <v>60</v>
      </c>
      <c r="R10" s="49"/>
      <c r="S10" s="24"/>
      <c r="T10" s="24"/>
      <c r="U10" s="24"/>
      <c r="V10" s="24"/>
      <c r="W10" s="65"/>
      <c r="X10" s="24"/>
      <c r="Y10" s="100"/>
      <c r="Z10" s="97"/>
      <c r="AA10" s="125"/>
      <c r="AB10" s="97"/>
      <c r="AC10" s="97"/>
      <c r="AD10" s="97"/>
      <c r="AE10" s="97"/>
      <c r="AF10" s="97"/>
      <c r="AG10" s="97"/>
      <c r="AH10" s="97"/>
      <c r="AI10" s="97"/>
      <c r="AJ10" s="97"/>
      <c r="AK10" s="97"/>
    </row>
    <row r="11" spans="1:37" s="96" customFormat="1" outlineLevel="4" x14ac:dyDescent="0.25">
      <c r="A11" s="126" t="s">
        <v>230</v>
      </c>
      <c r="B11" s="24" t="s">
        <v>46</v>
      </c>
      <c r="C11" s="50"/>
      <c r="D11" s="51">
        <v>2</v>
      </c>
      <c r="E11" s="51"/>
      <c r="F11" s="24"/>
      <c r="G11" s="24">
        <f t="shared" si="0"/>
        <v>2.5</v>
      </c>
      <c r="H11" s="128">
        <v>60</v>
      </c>
      <c r="I11" s="129">
        <v>37</v>
      </c>
      <c r="J11" s="129">
        <v>23</v>
      </c>
      <c r="K11" s="24"/>
      <c r="L11" s="24"/>
      <c r="M11" s="24"/>
      <c r="N11" s="114"/>
      <c r="O11" s="24"/>
      <c r="P11" s="24"/>
      <c r="Q11" s="48">
        <v>18</v>
      </c>
      <c r="R11" s="49">
        <v>42</v>
      </c>
      <c r="S11" s="24"/>
      <c r="T11" s="24"/>
      <c r="U11" s="24"/>
      <c r="V11" s="24"/>
      <c r="W11" s="65"/>
      <c r="X11" s="24"/>
      <c r="Y11" s="100"/>
      <c r="Z11" s="97"/>
      <c r="AA11" s="125"/>
      <c r="AB11" s="97"/>
      <c r="AC11" s="97"/>
      <c r="AD11" s="97"/>
      <c r="AE11" s="97"/>
      <c r="AF11" s="97"/>
      <c r="AG11" s="97"/>
      <c r="AH11" s="97"/>
      <c r="AI11" s="97"/>
      <c r="AJ11" s="97"/>
      <c r="AK11" s="97"/>
    </row>
    <row r="12" spans="1:37" s="96" customFormat="1" outlineLevel="4" x14ac:dyDescent="0.25">
      <c r="A12" s="126" t="s">
        <v>231</v>
      </c>
      <c r="B12" s="96" t="s">
        <v>21</v>
      </c>
      <c r="C12" s="51"/>
      <c r="D12" s="50">
        <v>2</v>
      </c>
      <c r="E12" s="50">
        <v>1</v>
      </c>
      <c r="F12" s="24"/>
      <c r="G12" s="24">
        <f t="shared" si="0"/>
        <v>5</v>
      </c>
      <c r="H12" s="128">
        <v>120</v>
      </c>
      <c r="I12" s="129">
        <v>20</v>
      </c>
      <c r="J12" s="129">
        <v>100</v>
      </c>
      <c r="K12" s="24"/>
      <c r="L12" s="24"/>
      <c r="M12" s="24"/>
      <c r="N12" s="114"/>
      <c r="O12" s="24"/>
      <c r="P12" s="24"/>
      <c r="Q12" s="49">
        <v>42</v>
      </c>
      <c r="R12" s="49">
        <v>78</v>
      </c>
      <c r="S12" s="24"/>
      <c r="T12" s="24"/>
      <c r="U12" s="24"/>
      <c r="V12" s="24"/>
      <c r="W12" s="65"/>
      <c r="X12" s="24"/>
      <c r="Y12" s="100"/>
      <c r="Z12" s="130"/>
      <c r="AA12" s="125"/>
      <c r="AB12" s="97"/>
      <c r="AC12" s="97"/>
      <c r="AD12" s="97"/>
      <c r="AE12" s="97"/>
      <c r="AF12" s="97"/>
      <c r="AG12" s="97"/>
      <c r="AH12" s="97"/>
      <c r="AI12" s="97"/>
      <c r="AJ12" s="97"/>
      <c r="AK12" s="97"/>
    </row>
    <row r="13" spans="1:37" s="96" customFormat="1" outlineLevel="4" x14ac:dyDescent="0.25">
      <c r="A13" s="126" t="s">
        <v>232</v>
      </c>
      <c r="B13" s="24" t="s">
        <v>22</v>
      </c>
      <c r="C13" s="50">
        <v>1</v>
      </c>
      <c r="D13" s="51">
        <v>2</v>
      </c>
      <c r="E13" s="51"/>
      <c r="F13" s="24"/>
      <c r="G13" s="24">
        <f t="shared" si="0"/>
        <v>4</v>
      </c>
      <c r="H13" s="128">
        <v>96</v>
      </c>
      <c r="I13" s="129">
        <v>96</v>
      </c>
      <c r="J13" s="129"/>
      <c r="K13" s="24"/>
      <c r="L13" s="24"/>
      <c r="M13" s="24"/>
      <c r="N13" s="114"/>
      <c r="O13" s="24"/>
      <c r="P13" s="24"/>
      <c r="Q13" s="49">
        <v>72</v>
      </c>
      <c r="R13" s="49">
        <v>24</v>
      </c>
      <c r="S13" s="24"/>
      <c r="T13" s="24"/>
      <c r="U13" s="24"/>
      <c r="V13" s="24"/>
      <c r="W13" s="65"/>
      <c r="X13" s="24"/>
      <c r="Y13" s="100"/>
      <c r="Z13" s="97"/>
      <c r="AA13" s="125"/>
      <c r="AB13" s="97"/>
      <c r="AC13" s="97"/>
      <c r="AD13" s="97"/>
      <c r="AE13" s="97"/>
      <c r="AF13" s="97"/>
      <c r="AG13" s="97"/>
      <c r="AH13" s="97"/>
      <c r="AI13" s="97"/>
      <c r="AJ13" s="97"/>
      <c r="AK13" s="97"/>
    </row>
    <row r="14" spans="1:37" s="96" customFormat="1" outlineLevel="4" x14ac:dyDescent="0.25">
      <c r="A14" s="126" t="s">
        <v>233</v>
      </c>
      <c r="B14" s="24" t="s">
        <v>42</v>
      </c>
      <c r="C14" s="50">
        <v>2</v>
      </c>
      <c r="D14" s="50">
        <v>1</v>
      </c>
      <c r="E14" s="50">
        <v>2</v>
      </c>
      <c r="F14" s="24"/>
      <c r="G14" s="24">
        <f>H14/24</f>
        <v>7</v>
      </c>
      <c r="H14" s="128">
        <v>168</v>
      </c>
      <c r="I14" s="129">
        <v>48</v>
      </c>
      <c r="J14" s="129">
        <v>120</v>
      </c>
      <c r="K14" s="24"/>
      <c r="L14" s="24"/>
      <c r="M14" s="24"/>
      <c r="N14" s="114"/>
      <c r="O14" s="24"/>
      <c r="P14" s="24"/>
      <c r="Q14" s="49">
        <v>90</v>
      </c>
      <c r="R14" s="49">
        <v>78</v>
      </c>
      <c r="S14" s="24"/>
      <c r="T14" s="24"/>
      <c r="U14" s="24"/>
      <c r="V14" s="24"/>
      <c r="W14" s="65"/>
      <c r="X14" s="24"/>
      <c r="Y14" s="100"/>
      <c r="Z14" s="97"/>
      <c r="AA14" s="125"/>
      <c r="AB14" s="97"/>
      <c r="AC14" s="97"/>
      <c r="AD14" s="97"/>
      <c r="AE14" s="97"/>
      <c r="AF14" s="97"/>
      <c r="AG14" s="97"/>
      <c r="AH14" s="97"/>
      <c r="AI14" s="97"/>
      <c r="AJ14" s="97"/>
      <c r="AK14" s="97"/>
    </row>
    <row r="15" spans="1:37" s="96" customFormat="1" outlineLevel="4" x14ac:dyDescent="0.25">
      <c r="A15" s="126" t="s">
        <v>234</v>
      </c>
      <c r="B15" s="24" t="s">
        <v>43</v>
      </c>
      <c r="C15" s="51"/>
      <c r="D15" s="50">
        <v>2</v>
      </c>
      <c r="E15" s="51"/>
      <c r="F15" s="24"/>
      <c r="G15" s="24">
        <f>H15/24</f>
        <v>3</v>
      </c>
      <c r="H15" s="128">
        <v>72</v>
      </c>
      <c r="I15" s="129">
        <v>36</v>
      </c>
      <c r="J15" s="129">
        <v>36</v>
      </c>
      <c r="K15" s="24"/>
      <c r="L15" s="24"/>
      <c r="M15" s="24"/>
      <c r="N15" s="114"/>
      <c r="O15" s="24"/>
      <c r="P15" s="24"/>
      <c r="Q15" s="48">
        <v>36</v>
      </c>
      <c r="R15" s="49">
        <v>36</v>
      </c>
      <c r="S15" s="24"/>
      <c r="T15" s="24"/>
      <c r="U15" s="24"/>
      <c r="V15" s="24"/>
      <c r="W15" s="65"/>
      <c r="X15" s="24"/>
      <c r="Y15" s="100"/>
      <c r="Z15" s="97"/>
      <c r="AA15" s="125"/>
      <c r="AB15" s="97"/>
      <c r="AC15" s="97"/>
      <c r="AD15" s="97"/>
      <c r="AE15" s="97"/>
      <c r="AF15" s="97"/>
      <c r="AG15" s="97"/>
      <c r="AH15" s="97"/>
      <c r="AI15" s="97"/>
      <c r="AJ15" s="97"/>
      <c r="AK15" s="97"/>
    </row>
    <row r="16" spans="1:37" s="96" customFormat="1" ht="26.4" outlineLevel="4" x14ac:dyDescent="0.25">
      <c r="A16" s="126" t="s">
        <v>235</v>
      </c>
      <c r="B16" s="21" t="s">
        <v>96</v>
      </c>
      <c r="C16" s="51"/>
      <c r="D16" s="50">
        <v>1</v>
      </c>
      <c r="E16" s="51"/>
      <c r="F16" s="24"/>
      <c r="G16" s="24">
        <f>H16/24</f>
        <v>4</v>
      </c>
      <c r="H16" s="128">
        <v>96</v>
      </c>
      <c r="I16" s="129">
        <v>30</v>
      </c>
      <c r="J16" s="129">
        <v>66</v>
      </c>
      <c r="K16" s="24"/>
      <c r="L16" s="24"/>
      <c r="M16" s="24"/>
      <c r="N16" s="114"/>
      <c r="O16" s="24"/>
      <c r="P16" s="24"/>
      <c r="Q16" s="49">
        <v>36</v>
      </c>
      <c r="R16" s="49">
        <v>60</v>
      </c>
      <c r="S16" s="24"/>
      <c r="T16" s="24"/>
      <c r="U16" s="24"/>
      <c r="V16" s="24"/>
      <c r="W16" s="65"/>
      <c r="X16" s="24"/>
      <c r="Y16" s="100"/>
      <c r="Z16" s="97"/>
      <c r="AA16" s="125"/>
      <c r="AB16" s="97"/>
      <c r="AC16" s="97"/>
      <c r="AD16" s="97"/>
      <c r="AE16" s="97"/>
      <c r="AF16" s="97"/>
      <c r="AG16" s="97"/>
      <c r="AH16" s="97"/>
      <c r="AI16" s="97"/>
      <c r="AJ16" s="97"/>
      <c r="AK16" s="97"/>
    </row>
    <row r="17" spans="1:37" s="96" customFormat="1" outlineLevel="4" x14ac:dyDescent="0.25">
      <c r="A17" s="126" t="s">
        <v>236</v>
      </c>
      <c r="B17" s="21" t="s">
        <v>91</v>
      </c>
      <c r="C17" s="51"/>
      <c r="D17" s="50">
        <v>1.2</v>
      </c>
      <c r="E17" s="51"/>
      <c r="F17" s="24"/>
      <c r="G17" s="24">
        <f>H17/24</f>
        <v>6.5</v>
      </c>
      <c r="H17" s="128">
        <v>156</v>
      </c>
      <c r="I17" s="129">
        <v>8</v>
      </c>
      <c r="J17" s="129">
        <v>148</v>
      </c>
      <c r="K17" s="24"/>
      <c r="L17" s="24"/>
      <c r="M17" s="24"/>
      <c r="N17" s="114"/>
      <c r="O17" s="24"/>
      <c r="P17" s="24"/>
      <c r="Q17" s="49">
        <v>72</v>
      </c>
      <c r="R17" s="49">
        <v>84</v>
      </c>
      <c r="S17" s="24"/>
      <c r="T17" s="24"/>
      <c r="U17" s="24"/>
      <c r="V17" s="24"/>
      <c r="W17" s="65"/>
      <c r="X17" s="24"/>
      <c r="Y17" s="100"/>
      <c r="Z17" s="97"/>
      <c r="AA17" s="125"/>
      <c r="AB17" s="97"/>
      <c r="AC17" s="97"/>
      <c r="AD17" s="97"/>
      <c r="AE17" s="97"/>
      <c r="AF17" s="97"/>
      <c r="AG17" s="97"/>
      <c r="AH17" s="97"/>
      <c r="AI17" s="97"/>
      <c r="AJ17" s="97"/>
      <c r="AK17" s="97"/>
    </row>
    <row r="18" spans="1:37" s="96" customFormat="1" ht="13.8" outlineLevel="4" x14ac:dyDescent="0.25">
      <c r="A18" s="126"/>
      <c r="B18" s="227" t="s">
        <v>225</v>
      </c>
      <c r="C18" s="51"/>
      <c r="D18" s="50"/>
      <c r="E18" s="51"/>
      <c r="F18" s="24"/>
      <c r="G18" s="24"/>
      <c r="H18" s="128"/>
      <c r="I18" s="129"/>
      <c r="J18" s="129"/>
      <c r="K18" s="24"/>
      <c r="L18" s="24"/>
      <c r="M18" s="24"/>
      <c r="N18" s="114"/>
      <c r="O18" s="24"/>
      <c r="P18" s="24"/>
      <c r="Q18" s="48"/>
      <c r="R18" s="49"/>
      <c r="S18" s="24"/>
      <c r="T18" s="24"/>
      <c r="U18" s="24"/>
      <c r="V18" s="24"/>
      <c r="W18" s="65"/>
      <c r="X18" s="24"/>
      <c r="Y18" s="100"/>
      <c r="Z18" s="97"/>
      <c r="AA18" s="125"/>
      <c r="AB18" s="97"/>
      <c r="AC18" s="97"/>
      <c r="AD18" s="97"/>
      <c r="AE18" s="97"/>
      <c r="AF18" s="97"/>
      <c r="AG18" s="97"/>
      <c r="AH18" s="97"/>
      <c r="AI18" s="97"/>
      <c r="AJ18" s="97"/>
      <c r="AK18" s="97"/>
    </row>
    <row r="19" spans="1:37" s="96" customFormat="1" outlineLevel="4" x14ac:dyDescent="0.25">
      <c r="A19" s="126" t="s">
        <v>49</v>
      </c>
      <c r="B19" s="24" t="s">
        <v>44</v>
      </c>
      <c r="C19" s="51"/>
      <c r="D19" s="51">
        <v>2</v>
      </c>
      <c r="E19" s="50">
        <v>2</v>
      </c>
      <c r="F19" s="24"/>
      <c r="G19" s="24">
        <f t="shared" si="0"/>
        <v>6</v>
      </c>
      <c r="H19" s="128">
        <v>144</v>
      </c>
      <c r="I19" s="129">
        <v>112</v>
      </c>
      <c r="J19" s="129">
        <v>30</v>
      </c>
      <c r="K19" s="24"/>
      <c r="L19" s="24"/>
      <c r="M19" s="24"/>
      <c r="N19" s="114"/>
      <c r="O19" s="24"/>
      <c r="P19" s="24"/>
      <c r="Q19" s="49">
        <v>66</v>
      </c>
      <c r="R19" s="49">
        <v>78</v>
      </c>
      <c r="S19" s="24"/>
      <c r="T19" s="24"/>
      <c r="U19" s="24"/>
      <c r="V19" s="24"/>
      <c r="W19" s="65"/>
      <c r="X19" s="24"/>
      <c r="Y19" s="100"/>
      <c r="Z19" s="97"/>
      <c r="AA19" s="125"/>
      <c r="AB19" s="97"/>
      <c r="AC19" s="97"/>
      <c r="AD19" s="97"/>
      <c r="AE19" s="97"/>
      <c r="AF19" s="97"/>
      <c r="AG19" s="97"/>
      <c r="AH19" s="97"/>
      <c r="AI19" s="97"/>
      <c r="AJ19" s="97"/>
      <c r="AK19" s="97"/>
    </row>
    <row r="20" spans="1:37" s="96" customFormat="1" outlineLevel="4" x14ac:dyDescent="0.25">
      <c r="A20" s="126" t="s">
        <v>50</v>
      </c>
      <c r="B20" s="24" t="s">
        <v>47</v>
      </c>
      <c r="C20" s="50">
        <v>2</v>
      </c>
      <c r="D20" s="50">
        <v>1</v>
      </c>
      <c r="E20" s="50">
        <v>1</v>
      </c>
      <c r="F20" s="24"/>
      <c r="G20" s="24">
        <f t="shared" si="0"/>
        <v>6.5</v>
      </c>
      <c r="H20" s="128">
        <v>156</v>
      </c>
      <c r="I20" s="129">
        <v>80</v>
      </c>
      <c r="J20" s="129">
        <v>76</v>
      </c>
      <c r="K20" s="24"/>
      <c r="L20" s="24"/>
      <c r="M20" s="24"/>
      <c r="N20" s="114"/>
      <c r="O20" s="24"/>
      <c r="P20" s="24"/>
      <c r="Q20" s="49">
        <v>72</v>
      </c>
      <c r="R20" s="49">
        <v>84</v>
      </c>
      <c r="S20" s="24"/>
      <c r="T20" s="24"/>
      <c r="U20" s="24"/>
      <c r="V20" s="24"/>
      <c r="W20" s="65"/>
      <c r="X20" s="24"/>
      <c r="Y20" s="100"/>
      <c r="Z20" s="97"/>
      <c r="AA20" s="125"/>
      <c r="AB20" s="97"/>
      <c r="AC20" s="97"/>
      <c r="AD20" s="97"/>
      <c r="AE20" s="97"/>
      <c r="AF20" s="97"/>
      <c r="AG20" s="97"/>
      <c r="AH20" s="97"/>
      <c r="AI20" s="97"/>
      <c r="AJ20" s="97"/>
      <c r="AK20" s="97"/>
    </row>
    <row r="21" spans="1:37" s="96" customFormat="1" ht="13.8" outlineLevel="4" x14ac:dyDescent="0.25">
      <c r="A21" s="126"/>
      <c r="B21" s="227" t="s">
        <v>226</v>
      </c>
      <c r="C21" s="50"/>
      <c r="D21" s="50"/>
      <c r="E21" s="50"/>
      <c r="F21" s="24"/>
      <c r="G21" s="24"/>
      <c r="H21" s="128"/>
      <c r="I21" s="129"/>
      <c r="J21" s="129"/>
      <c r="K21" s="24"/>
      <c r="L21" s="24"/>
      <c r="M21" s="24"/>
      <c r="N21" s="114"/>
      <c r="O21" s="24"/>
      <c r="P21" s="24"/>
      <c r="Q21" s="49"/>
      <c r="R21" s="49"/>
      <c r="S21" s="24"/>
      <c r="T21" s="24"/>
      <c r="U21" s="24"/>
      <c r="V21" s="24"/>
      <c r="W21" s="65"/>
      <c r="X21" s="24"/>
      <c r="Y21" s="100"/>
      <c r="Z21" s="97"/>
      <c r="AA21" s="125"/>
      <c r="AB21" s="97"/>
      <c r="AC21" s="97"/>
      <c r="AD21" s="97"/>
      <c r="AE21" s="97"/>
      <c r="AF21" s="97"/>
      <c r="AG21" s="97"/>
      <c r="AH21" s="97"/>
      <c r="AI21" s="97"/>
      <c r="AJ21" s="97"/>
      <c r="AK21" s="97"/>
    </row>
    <row r="22" spans="1:37" s="96" customFormat="1" outlineLevel="4" x14ac:dyDescent="0.25">
      <c r="A22" s="126" t="s">
        <v>51</v>
      </c>
      <c r="B22" s="24" t="s">
        <v>48</v>
      </c>
      <c r="C22" s="51"/>
      <c r="D22" s="50">
        <v>2</v>
      </c>
      <c r="E22" s="51"/>
      <c r="F22" s="24"/>
      <c r="G22" s="24">
        <f t="shared" si="0"/>
        <v>2.5</v>
      </c>
      <c r="H22" s="128">
        <v>60</v>
      </c>
      <c r="I22" s="129">
        <v>36</v>
      </c>
      <c r="J22" s="129">
        <v>24</v>
      </c>
      <c r="K22" s="24"/>
      <c r="L22" s="24"/>
      <c r="M22" s="24"/>
      <c r="N22" s="114"/>
      <c r="O22" s="24"/>
      <c r="P22" s="24"/>
      <c r="Q22" s="49">
        <v>18</v>
      </c>
      <c r="R22" s="49">
        <v>42</v>
      </c>
      <c r="S22" s="24"/>
      <c r="T22" s="24"/>
      <c r="U22" s="24"/>
      <c r="V22" s="24"/>
      <c r="W22" s="65"/>
      <c r="X22" s="24"/>
      <c r="Y22" s="100"/>
      <c r="Z22" s="97"/>
      <c r="AA22" s="125"/>
      <c r="AB22" s="97"/>
      <c r="AC22" s="97"/>
      <c r="AD22" s="97"/>
      <c r="AE22" s="97"/>
      <c r="AF22" s="97"/>
      <c r="AG22" s="97"/>
      <c r="AH22" s="97"/>
      <c r="AI22" s="97"/>
      <c r="AJ22" s="97"/>
      <c r="AK22" s="97"/>
    </row>
    <row r="23" spans="1:37" s="96" customFormat="1" outlineLevel="4" x14ac:dyDescent="0.25">
      <c r="A23" s="126" t="s">
        <v>52</v>
      </c>
      <c r="B23" s="24" t="s">
        <v>41</v>
      </c>
      <c r="C23" s="51"/>
      <c r="D23" s="50">
        <v>2</v>
      </c>
      <c r="E23" s="51"/>
      <c r="F23" s="24"/>
      <c r="G23" s="24">
        <f>H23/24</f>
        <v>2.5</v>
      </c>
      <c r="H23" s="128">
        <v>60</v>
      </c>
      <c r="I23" s="129">
        <v>50</v>
      </c>
      <c r="J23" s="129">
        <v>10</v>
      </c>
      <c r="K23" s="24"/>
      <c r="L23" s="24"/>
      <c r="M23" s="24"/>
      <c r="N23" s="114"/>
      <c r="O23" s="24"/>
      <c r="P23" s="24"/>
      <c r="Q23" s="49">
        <v>18</v>
      </c>
      <c r="R23" s="49">
        <v>42</v>
      </c>
      <c r="T23" s="24"/>
      <c r="U23" s="24"/>
      <c r="V23" s="24"/>
      <c r="W23" s="65"/>
      <c r="X23" s="24"/>
      <c r="Y23" s="100"/>
      <c r="Z23" s="97"/>
      <c r="AA23" s="125"/>
      <c r="AB23" s="97"/>
      <c r="AC23" s="97"/>
      <c r="AD23" s="97"/>
      <c r="AE23" s="97"/>
      <c r="AF23" s="97"/>
      <c r="AG23" s="97"/>
      <c r="AH23" s="97"/>
      <c r="AI23" s="97"/>
      <c r="AJ23" s="97"/>
      <c r="AK23" s="97"/>
    </row>
    <row r="24" spans="1:37" s="96" customFormat="1" outlineLevel="4" x14ac:dyDescent="0.25">
      <c r="A24" s="126" t="s">
        <v>237</v>
      </c>
      <c r="B24" s="152" t="s">
        <v>27</v>
      </c>
      <c r="C24" s="24"/>
      <c r="D24" s="24"/>
      <c r="E24" s="24"/>
      <c r="F24" s="24"/>
      <c r="G24" s="24">
        <f t="shared" si="0"/>
        <v>3</v>
      </c>
      <c r="H24" s="104">
        <v>72</v>
      </c>
      <c r="I24" s="61">
        <v>72</v>
      </c>
      <c r="J24" s="24"/>
      <c r="K24" s="24"/>
      <c r="L24" s="24"/>
      <c r="M24" s="24"/>
      <c r="N24" s="24"/>
      <c r="O24" s="24"/>
      <c r="P24" s="24"/>
      <c r="Q24" s="49">
        <v>36</v>
      </c>
      <c r="R24" s="49">
        <v>36</v>
      </c>
      <c r="S24" s="24"/>
      <c r="T24" s="24"/>
      <c r="U24" s="24"/>
      <c r="V24" s="24"/>
      <c r="W24" s="65"/>
      <c r="X24" s="24"/>
      <c r="Y24" s="100"/>
      <c r="Z24" s="97"/>
      <c r="AA24" s="125"/>
      <c r="AB24" s="97"/>
      <c r="AC24" s="97"/>
      <c r="AD24" s="97"/>
      <c r="AE24" s="97"/>
      <c r="AF24" s="97"/>
      <c r="AG24" s="97"/>
      <c r="AH24" s="97"/>
      <c r="AI24" s="97"/>
      <c r="AJ24" s="97"/>
      <c r="AK24" s="97"/>
    </row>
    <row r="25" spans="1:37" s="41" customFormat="1" ht="15.75" customHeight="1" outlineLevel="3" x14ac:dyDescent="0.25">
      <c r="A25" s="103" t="s">
        <v>70</v>
      </c>
      <c r="B25" s="64" t="s">
        <v>137</v>
      </c>
      <c r="C25" s="40">
        <f>COUNT(C9:C24)</f>
        <v>5</v>
      </c>
      <c r="D25" s="40">
        <f>COUNT(D9:D24)</f>
        <v>13</v>
      </c>
      <c r="E25" s="40">
        <f>COUNT(E9:E24)</f>
        <v>6</v>
      </c>
      <c r="F25" s="40">
        <f>COUNT(F9:F24)</f>
        <v>0</v>
      </c>
      <c r="G25" s="40">
        <f>SUM(G9:G24)</f>
        <v>60</v>
      </c>
      <c r="H25" s="137">
        <f>SUM(H9:H24)</f>
        <v>1440</v>
      </c>
      <c r="I25" s="40">
        <f>SUM(I9:I24)</f>
        <v>696</v>
      </c>
      <c r="J25" s="40">
        <f>SUM(J9:J23)</f>
        <v>742</v>
      </c>
      <c r="K25" s="40"/>
      <c r="L25" s="40"/>
      <c r="M25" s="40"/>
      <c r="N25" s="40"/>
      <c r="O25" s="40"/>
      <c r="P25" s="40"/>
      <c r="Q25" s="40">
        <f>SUM(Q9:Q24)</f>
        <v>684</v>
      </c>
      <c r="R25" s="40">
        <f>SUM(R9:R24)</f>
        <v>756</v>
      </c>
      <c r="S25" s="40"/>
      <c r="T25" s="40"/>
      <c r="U25" s="40"/>
      <c r="V25" s="40"/>
      <c r="W25" s="40"/>
      <c r="X25" s="40"/>
      <c r="Y25" s="194"/>
      <c r="Z25" s="42"/>
      <c r="AA25" s="53"/>
      <c r="AB25" s="42"/>
      <c r="AC25" s="42"/>
      <c r="AD25" s="42"/>
      <c r="AE25" s="42"/>
      <c r="AF25" s="42"/>
      <c r="AG25" s="42"/>
      <c r="AH25" s="42"/>
      <c r="AI25" s="42"/>
      <c r="AJ25" s="42"/>
      <c r="AK25" s="42"/>
    </row>
    <row r="26" spans="1:37" s="70" customFormat="1" ht="25.5" customHeight="1" outlineLevel="1" x14ac:dyDescent="0.25">
      <c r="A26" s="43" t="s">
        <v>153</v>
      </c>
      <c r="B26" s="68" t="s">
        <v>33</v>
      </c>
      <c r="C26" s="69">
        <f>COUNT(C28)</f>
        <v>1</v>
      </c>
      <c r="D26" s="69">
        <f t="shared" ref="D26:F26" si="1">COUNT(D28)</f>
        <v>1</v>
      </c>
      <c r="E26" s="69">
        <f t="shared" si="1"/>
        <v>0</v>
      </c>
      <c r="F26" s="69">
        <f t="shared" si="1"/>
        <v>0</v>
      </c>
      <c r="G26" s="69">
        <v>12</v>
      </c>
      <c r="H26" s="78">
        <v>288</v>
      </c>
      <c r="I26" s="78">
        <f>SUM(I28)</f>
        <v>0</v>
      </c>
      <c r="J26" s="78">
        <v>288</v>
      </c>
      <c r="K26" s="78">
        <f t="shared" ref="K26" si="2">SUM(K28)</f>
        <v>0</v>
      </c>
      <c r="L26" s="78"/>
      <c r="M26" s="78"/>
      <c r="N26" s="78">
        <f t="shared" ref="N26" si="3">SUM(N28)</f>
        <v>0</v>
      </c>
      <c r="O26" s="78">
        <f t="shared" ref="O26" si="4">SUM(O28)</f>
        <v>0</v>
      </c>
      <c r="P26" s="78"/>
      <c r="Q26" s="78">
        <f t="shared" ref="Q26" si="5">SUM(Q28)</f>
        <v>0</v>
      </c>
      <c r="R26" s="78">
        <f t="shared" ref="R26" si="6">SUM(R28)</f>
        <v>0</v>
      </c>
      <c r="S26" s="202">
        <v>60</v>
      </c>
      <c r="T26" s="202">
        <v>48</v>
      </c>
      <c r="U26" s="78">
        <v>66</v>
      </c>
      <c r="V26" s="78">
        <v>48</v>
      </c>
      <c r="W26" s="78">
        <v>42</v>
      </c>
      <c r="X26" s="78">
        <f t="shared" ref="X26" si="7">SUM(X28)</f>
        <v>24</v>
      </c>
      <c r="Y26" s="195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</row>
    <row r="27" spans="1:37" s="56" customFormat="1" ht="28.5" customHeight="1" outlineLevel="1" x14ac:dyDescent="0.25">
      <c r="A27" s="149"/>
      <c r="B27" s="359" t="s">
        <v>142</v>
      </c>
      <c r="C27" s="360"/>
      <c r="D27" s="360"/>
      <c r="E27" s="360"/>
      <c r="F27" s="360"/>
      <c r="G27" s="360"/>
      <c r="H27" s="360"/>
      <c r="I27" s="360"/>
      <c r="J27" s="360"/>
      <c r="K27" s="360"/>
      <c r="L27" s="360"/>
      <c r="M27" s="360"/>
      <c r="N27" s="360"/>
      <c r="O27" s="360"/>
      <c r="P27" s="360"/>
      <c r="Q27" s="360"/>
      <c r="R27" s="360"/>
      <c r="S27" s="360"/>
      <c r="T27" s="360"/>
      <c r="U27" s="360"/>
      <c r="V27" s="360"/>
      <c r="W27" s="360"/>
      <c r="X27" s="361"/>
      <c r="Y27" s="100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</row>
    <row r="28" spans="1:37" s="96" customFormat="1" ht="24.75" customHeight="1" outlineLevel="1" x14ac:dyDescent="0.25">
      <c r="A28" s="31" t="s">
        <v>238</v>
      </c>
      <c r="B28" s="105" t="s">
        <v>88</v>
      </c>
      <c r="C28" s="24">
        <v>7</v>
      </c>
      <c r="D28" s="24">
        <v>5</v>
      </c>
      <c r="E28" s="24"/>
      <c r="F28" s="24"/>
      <c r="G28" s="24">
        <v>12</v>
      </c>
      <c r="H28" s="104">
        <v>288</v>
      </c>
      <c r="I28" s="24"/>
      <c r="J28" s="24">
        <v>288</v>
      </c>
      <c r="K28" s="24"/>
      <c r="L28" s="24"/>
      <c r="M28" s="24"/>
      <c r="N28" s="104"/>
      <c r="O28" s="24"/>
      <c r="P28" s="24"/>
      <c r="Q28" s="24"/>
      <c r="R28" s="24"/>
      <c r="S28" s="24">
        <v>60</v>
      </c>
      <c r="T28" s="24">
        <v>48</v>
      </c>
      <c r="U28" s="24">
        <v>66</v>
      </c>
      <c r="V28" s="24">
        <v>48</v>
      </c>
      <c r="W28" s="65">
        <v>42</v>
      </c>
      <c r="X28" s="24">
        <v>24</v>
      </c>
      <c r="Y28" s="100"/>
      <c r="Z28" s="97"/>
      <c r="AA28" s="125"/>
      <c r="AB28" s="97"/>
      <c r="AC28" s="97"/>
      <c r="AD28" s="97"/>
      <c r="AE28" s="97"/>
      <c r="AF28" s="97"/>
      <c r="AG28" s="97"/>
      <c r="AH28" s="97"/>
      <c r="AI28" s="97"/>
      <c r="AJ28" s="97"/>
      <c r="AK28" s="97"/>
    </row>
    <row r="29" spans="1:37" s="70" customFormat="1" ht="52.8" outlineLevel="1" x14ac:dyDescent="0.25">
      <c r="A29" s="43" t="s">
        <v>154</v>
      </c>
      <c r="B29" s="68" t="s">
        <v>100</v>
      </c>
      <c r="C29" s="69">
        <f>COUNT(C31)</f>
        <v>0</v>
      </c>
      <c r="D29" s="69">
        <f t="shared" ref="D29:F29" si="8">COUNT(D31)</f>
        <v>1</v>
      </c>
      <c r="E29" s="69">
        <f t="shared" si="8"/>
        <v>1</v>
      </c>
      <c r="F29" s="69">
        <f t="shared" si="8"/>
        <v>0</v>
      </c>
      <c r="G29" s="78">
        <f t="shared" ref="G29:X29" si="9">SUM(G31)</f>
        <v>1</v>
      </c>
      <c r="H29" s="78">
        <f t="shared" si="9"/>
        <v>24</v>
      </c>
      <c r="I29" s="78">
        <f t="shared" si="9"/>
        <v>10</v>
      </c>
      <c r="J29" s="78">
        <f t="shared" si="9"/>
        <v>14</v>
      </c>
      <c r="K29" s="78">
        <f t="shared" si="9"/>
        <v>0</v>
      </c>
      <c r="L29" s="78"/>
      <c r="M29" s="78"/>
      <c r="N29" s="78">
        <f t="shared" si="9"/>
        <v>0</v>
      </c>
      <c r="O29" s="78">
        <f t="shared" si="9"/>
        <v>0</v>
      </c>
      <c r="P29" s="78"/>
      <c r="Q29" s="78">
        <f t="shared" si="9"/>
        <v>0</v>
      </c>
      <c r="R29" s="78">
        <f t="shared" si="9"/>
        <v>0</v>
      </c>
      <c r="S29" s="202">
        <f t="shared" si="9"/>
        <v>24</v>
      </c>
      <c r="T29" s="202">
        <f t="shared" si="9"/>
        <v>0</v>
      </c>
      <c r="U29" s="78">
        <f t="shared" si="9"/>
        <v>0</v>
      </c>
      <c r="V29" s="78">
        <f t="shared" si="9"/>
        <v>0</v>
      </c>
      <c r="W29" s="78">
        <f t="shared" si="9"/>
        <v>0</v>
      </c>
      <c r="X29" s="78">
        <f t="shared" si="9"/>
        <v>0</v>
      </c>
      <c r="Y29" s="195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</row>
    <row r="30" spans="1:37" s="56" customFormat="1" ht="30.75" customHeight="1" outlineLevel="1" x14ac:dyDescent="0.25">
      <c r="A30" s="149"/>
      <c r="B30" s="359" t="s">
        <v>143</v>
      </c>
      <c r="C30" s="360"/>
      <c r="D30" s="360"/>
      <c r="E30" s="360"/>
      <c r="F30" s="360"/>
      <c r="G30" s="360"/>
      <c r="H30" s="360"/>
      <c r="I30" s="360"/>
      <c r="J30" s="360"/>
      <c r="K30" s="360"/>
      <c r="L30" s="360"/>
      <c r="M30" s="360"/>
      <c r="N30" s="360"/>
      <c r="O30" s="360"/>
      <c r="P30" s="360"/>
      <c r="Q30" s="360"/>
      <c r="R30" s="360"/>
      <c r="S30" s="360"/>
      <c r="T30" s="360"/>
      <c r="U30" s="360"/>
      <c r="V30" s="360"/>
      <c r="W30" s="360"/>
      <c r="X30" s="361"/>
      <c r="Y30" s="100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</row>
    <row r="31" spans="1:37" s="96" customFormat="1" ht="39.6" outlineLevel="1" x14ac:dyDescent="0.25">
      <c r="A31" s="31" t="s">
        <v>212</v>
      </c>
      <c r="B31" s="21" t="s">
        <v>101</v>
      </c>
      <c r="C31" s="24"/>
      <c r="D31" s="24">
        <v>3</v>
      </c>
      <c r="E31" s="24">
        <v>1</v>
      </c>
      <c r="F31" s="24"/>
      <c r="G31" s="24">
        <f t="shared" ref="G31" si="10">H31/24</f>
        <v>1</v>
      </c>
      <c r="H31" s="104">
        <v>24</v>
      </c>
      <c r="I31" s="24">
        <v>10</v>
      </c>
      <c r="J31" s="24">
        <f t="shared" ref="J31" si="11">$H31-$I31</f>
        <v>14</v>
      </c>
      <c r="K31" s="24"/>
      <c r="L31" s="24"/>
      <c r="M31" s="24"/>
      <c r="N31" s="104"/>
      <c r="O31" s="24"/>
      <c r="P31" s="24"/>
      <c r="Q31" s="24"/>
      <c r="R31" s="24"/>
      <c r="S31" s="24">
        <v>24</v>
      </c>
      <c r="T31" s="24"/>
      <c r="U31" s="24"/>
      <c r="V31" s="24"/>
      <c r="W31" s="65"/>
      <c r="X31" s="24"/>
      <c r="Y31" s="100"/>
      <c r="Z31" s="97"/>
      <c r="AA31" s="125"/>
      <c r="AB31" s="97"/>
      <c r="AC31" s="97"/>
      <c r="AD31" s="97"/>
      <c r="AE31" s="97"/>
      <c r="AF31" s="97"/>
      <c r="AG31" s="97"/>
      <c r="AH31" s="97"/>
      <c r="AI31" s="97"/>
      <c r="AJ31" s="97"/>
      <c r="AK31" s="97"/>
    </row>
    <row r="32" spans="1:37" s="80" customFormat="1" ht="39.6" outlineLevel="1" x14ac:dyDescent="0.25">
      <c r="A32" s="68" t="s">
        <v>155</v>
      </c>
      <c r="B32" s="75" t="s">
        <v>152</v>
      </c>
      <c r="C32" s="77">
        <f>COUNT(C36:C38)</f>
        <v>0</v>
      </c>
      <c r="D32" s="77">
        <f>COUNT(D34:D38)</f>
        <v>5</v>
      </c>
      <c r="E32" s="77">
        <f>COUNT(E34:E38)</f>
        <v>5</v>
      </c>
      <c r="F32" s="77">
        <f>COUNT(F36:F38)</f>
        <v>0</v>
      </c>
      <c r="G32" s="89">
        <f t="shared" ref="G32:X32" si="12">SUM(G34:G38)</f>
        <v>7.5</v>
      </c>
      <c r="H32" s="89">
        <f t="shared" si="12"/>
        <v>180</v>
      </c>
      <c r="I32" s="89">
        <f t="shared" si="12"/>
        <v>100</v>
      </c>
      <c r="J32" s="89">
        <f t="shared" si="12"/>
        <v>80</v>
      </c>
      <c r="K32" s="89">
        <f t="shared" si="12"/>
        <v>0</v>
      </c>
      <c r="L32" s="89"/>
      <c r="M32" s="89"/>
      <c r="N32" s="89">
        <f t="shared" si="12"/>
        <v>0</v>
      </c>
      <c r="O32" s="89">
        <f t="shared" si="12"/>
        <v>0</v>
      </c>
      <c r="P32" s="89"/>
      <c r="Q32" s="89">
        <f t="shared" si="12"/>
        <v>0</v>
      </c>
      <c r="R32" s="89">
        <f t="shared" si="12"/>
        <v>0</v>
      </c>
      <c r="S32" s="89">
        <f t="shared" si="12"/>
        <v>72</v>
      </c>
      <c r="T32" s="89">
        <f t="shared" si="12"/>
        <v>18</v>
      </c>
      <c r="U32" s="89">
        <f t="shared" si="12"/>
        <v>54</v>
      </c>
      <c r="V32" s="89">
        <f t="shared" si="12"/>
        <v>0</v>
      </c>
      <c r="W32" s="89">
        <f t="shared" si="12"/>
        <v>0</v>
      </c>
      <c r="X32" s="89">
        <f t="shared" si="12"/>
        <v>36</v>
      </c>
      <c r="Y32" s="195"/>
      <c r="Z32" s="81"/>
      <c r="AA32" s="71"/>
      <c r="AB32" s="81"/>
      <c r="AC32" s="81"/>
      <c r="AD32" s="81"/>
      <c r="AE32" s="81"/>
      <c r="AF32" s="81"/>
      <c r="AG32" s="81"/>
      <c r="AH32" s="81"/>
      <c r="AI32" s="81"/>
      <c r="AJ32" s="81"/>
      <c r="AK32" s="81"/>
    </row>
    <row r="33" spans="1:37" s="96" customFormat="1" outlineLevel="1" x14ac:dyDescent="0.25">
      <c r="A33" s="135"/>
      <c r="B33" s="359" t="s">
        <v>149</v>
      </c>
      <c r="C33" s="360"/>
      <c r="D33" s="360"/>
      <c r="E33" s="360"/>
      <c r="F33" s="360"/>
      <c r="G33" s="360"/>
      <c r="H33" s="360"/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1"/>
      <c r="Y33" s="100"/>
      <c r="Z33" s="97"/>
      <c r="AA33" s="125"/>
      <c r="AB33" s="97"/>
      <c r="AC33" s="97"/>
      <c r="AD33" s="97"/>
      <c r="AE33" s="97"/>
      <c r="AF33" s="97"/>
      <c r="AG33" s="97"/>
      <c r="AH33" s="97"/>
      <c r="AI33" s="97"/>
      <c r="AJ33" s="97"/>
      <c r="AK33" s="97"/>
    </row>
    <row r="34" spans="1:37" s="96" customFormat="1" outlineLevel="1" x14ac:dyDescent="0.25">
      <c r="A34" s="21" t="s">
        <v>209</v>
      </c>
      <c r="B34" s="156" t="s">
        <v>54</v>
      </c>
      <c r="C34" s="34"/>
      <c r="D34" s="35">
        <v>3</v>
      </c>
      <c r="E34" s="35">
        <v>1</v>
      </c>
      <c r="F34" s="35"/>
      <c r="G34" s="35">
        <f>H34/24</f>
        <v>2</v>
      </c>
      <c r="H34" s="138">
        <v>48</v>
      </c>
      <c r="I34" s="36">
        <v>28</v>
      </c>
      <c r="J34" s="35">
        <f>$H34-$I34</f>
        <v>20</v>
      </c>
      <c r="K34" s="37"/>
      <c r="L34" s="37"/>
      <c r="M34" s="37"/>
      <c r="N34" s="158"/>
      <c r="O34" s="158"/>
      <c r="P34" s="158"/>
      <c r="Q34" s="158"/>
      <c r="R34" s="38"/>
      <c r="S34" s="26">
        <v>48</v>
      </c>
      <c r="T34" s="26"/>
      <c r="U34" s="26"/>
      <c r="V34" s="24"/>
      <c r="W34" s="65"/>
      <c r="X34" s="35"/>
      <c r="Y34" s="100"/>
      <c r="Z34" s="97"/>
      <c r="AA34" s="125"/>
      <c r="AB34" s="97"/>
      <c r="AC34" s="97"/>
      <c r="AD34" s="97"/>
      <c r="AE34" s="97"/>
      <c r="AF34" s="97"/>
      <c r="AG34" s="97"/>
      <c r="AH34" s="97"/>
      <c r="AI34" s="97"/>
      <c r="AJ34" s="97"/>
      <c r="AK34" s="97"/>
    </row>
    <row r="35" spans="1:37" s="96" customFormat="1" ht="26.4" outlineLevel="1" x14ac:dyDescent="0.25">
      <c r="A35" s="21" t="s">
        <v>239</v>
      </c>
      <c r="B35" s="156" t="s">
        <v>63</v>
      </c>
      <c r="C35" s="34"/>
      <c r="D35" s="35">
        <v>3</v>
      </c>
      <c r="E35" s="35">
        <v>1</v>
      </c>
      <c r="F35" s="35"/>
      <c r="G35" s="35">
        <f>H35/24</f>
        <v>1</v>
      </c>
      <c r="H35" s="138">
        <v>24</v>
      </c>
      <c r="I35" s="36">
        <v>4</v>
      </c>
      <c r="J35" s="35">
        <f>$H35-$I35</f>
        <v>20</v>
      </c>
      <c r="K35" s="37"/>
      <c r="L35" s="37"/>
      <c r="M35" s="37"/>
      <c r="N35" s="158"/>
      <c r="O35" s="158"/>
      <c r="P35" s="158"/>
      <c r="Q35" s="158"/>
      <c r="R35" s="38"/>
      <c r="S35" s="26">
        <v>24</v>
      </c>
      <c r="T35" s="26"/>
      <c r="U35" s="26"/>
      <c r="V35" s="24"/>
      <c r="W35" s="65"/>
      <c r="X35" s="35"/>
      <c r="Y35" s="100"/>
      <c r="Z35" s="97"/>
      <c r="AA35" s="125"/>
      <c r="AB35" s="97"/>
      <c r="AC35" s="97"/>
      <c r="AD35" s="97"/>
      <c r="AE35" s="97"/>
      <c r="AF35" s="97"/>
      <c r="AG35" s="97"/>
      <c r="AH35" s="97"/>
      <c r="AI35" s="97"/>
      <c r="AJ35" s="97"/>
      <c r="AK35" s="97"/>
    </row>
    <row r="36" spans="1:37" s="96" customFormat="1" outlineLevel="1" x14ac:dyDescent="0.25">
      <c r="A36" s="21" t="s">
        <v>282</v>
      </c>
      <c r="B36" s="106" t="s">
        <v>87</v>
      </c>
      <c r="C36" s="113"/>
      <c r="D36" s="24">
        <v>7</v>
      </c>
      <c r="E36" s="24">
        <v>1</v>
      </c>
      <c r="F36" s="118"/>
      <c r="G36" s="61">
        <f>H36/24</f>
        <v>1.5</v>
      </c>
      <c r="H36" s="140">
        <v>36</v>
      </c>
      <c r="I36" s="119">
        <v>20</v>
      </c>
      <c r="J36" s="24">
        <f>$H36-$I36-$N36</f>
        <v>16</v>
      </c>
      <c r="K36" s="120"/>
      <c r="L36" s="120"/>
      <c r="M36" s="120"/>
      <c r="N36" s="120"/>
      <c r="O36" s="121"/>
      <c r="P36" s="121"/>
      <c r="Q36" s="25"/>
      <c r="R36" s="120"/>
      <c r="S36" s="120"/>
      <c r="T36" s="209"/>
      <c r="U36" s="209">
        <v>36</v>
      </c>
      <c r="V36" s="124"/>
      <c r="W36" s="119"/>
      <c r="X36" s="118"/>
      <c r="Y36" s="100"/>
      <c r="Z36" s="97"/>
      <c r="AA36" s="125"/>
      <c r="AB36" s="97"/>
      <c r="AC36" s="97"/>
      <c r="AD36" s="97"/>
      <c r="AE36" s="97"/>
      <c r="AF36" s="97"/>
      <c r="AG36" s="97"/>
      <c r="AH36" s="97"/>
      <c r="AI36" s="97"/>
      <c r="AJ36" s="97"/>
      <c r="AK36" s="97"/>
    </row>
    <row r="37" spans="1:37" s="96" customFormat="1" ht="26.4" outlineLevel="1" x14ac:dyDescent="0.25">
      <c r="A37" s="21" t="s">
        <v>210</v>
      </c>
      <c r="B37" s="28" t="s">
        <v>64</v>
      </c>
      <c r="C37" s="114"/>
      <c r="D37" s="24">
        <v>7</v>
      </c>
      <c r="E37" s="24">
        <v>1</v>
      </c>
      <c r="F37" s="24"/>
      <c r="G37" s="61">
        <f>H37/24</f>
        <v>1.5</v>
      </c>
      <c r="H37" s="200">
        <v>36</v>
      </c>
      <c r="I37" s="26">
        <v>28</v>
      </c>
      <c r="J37" s="24">
        <f>$H37-$I37-$N37</f>
        <v>8</v>
      </c>
      <c r="K37" s="122"/>
      <c r="L37" s="122"/>
      <c r="M37" s="122"/>
      <c r="N37" s="122"/>
      <c r="O37" s="122"/>
      <c r="P37" s="122"/>
      <c r="Q37" s="122"/>
      <c r="R37" s="122"/>
      <c r="S37" s="122"/>
      <c r="T37" s="208"/>
      <c r="U37" s="208"/>
      <c r="V37" s="114"/>
      <c r="W37" s="39"/>
      <c r="X37" s="24">
        <v>36</v>
      </c>
      <c r="Y37" s="100"/>
      <c r="Z37" s="97"/>
      <c r="AA37" s="125"/>
      <c r="AB37" s="97"/>
      <c r="AC37" s="97"/>
      <c r="AD37" s="97"/>
      <c r="AE37" s="97"/>
      <c r="AF37" s="97"/>
      <c r="AG37" s="97"/>
      <c r="AH37" s="97"/>
      <c r="AI37" s="97"/>
      <c r="AJ37" s="97"/>
      <c r="AK37" s="97"/>
    </row>
    <row r="38" spans="1:37" s="96" customFormat="1" outlineLevel="1" x14ac:dyDescent="0.25">
      <c r="A38" s="21" t="s">
        <v>211</v>
      </c>
      <c r="B38" s="28" t="s">
        <v>133</v>
      </c>
      <c r="C38" s="114"/>
      <c r="D38" s="24">
        <v>7</v>
      </c>
      <c r="E38" s="24">
        <v>1</v>
      </c>
      <c r="F38" s="24"/>
      <c r="G38" s="61">
        <f t="shared" ref="G38" si="13">H38/24</f>
        <v>1.5</v>
      </c>
      <c r="H38" s="200">
        <v>36</v>
      </c>
      <c r="I38" s="26">
        <v>20</v>
      </c>
      <c r="J38" s="24">
        <f>$H38-$I38-$N38</f>
        <v>16</v>
      </c>
      <c r="K38" s="122"/>
      <c r="L38" s="122"/>
      <c r="M38" s="122"/>
      <c r="N38" s="122"/>
      <c r="O38" s="122"/>
      <c r="P38" s="122"/>
      <c r="Q38" s="122"/>
      <c r="R38" s="122"/>
      <c r="S38" s="122"/>
      <c r="T38" s="208">
        <v>18</v>
      </c>
      <c r="U38" s="208">
        <v>18</v>
      </c>
      <c r="V38" s="114"/>
      <c r="W38" s="39"/>
      <c r="X38" s="24"/>
      <c r="Y38" s="100"/>
      <c r="Z38" s="97"/>
      <c r="AA38" s="125"/>
      <c r="AB38" s="97"/>
      <c r="AC38" s="97"/>
      <c r="AD38" s="97"/>
      <c r="AE38" s="97"/>
      <c r="AF38" s="97"/>
      <c r="AG38" s="97"/>
      <c r="AH38" s="97"/>
      <c r="AI38" s="97"/>
      <c r="AJ38" s="97"/>
      <c r="AK38" s="97"/>
    </row>
    <row r="39" spans="1:37" s="84" customFormat="1" ht="35.25" customHeight="1" outlineLevel="2" x14ac:dyDescent="0.25">
      <c r="A39" s="54" t="s">
        <v>157</v>
      </c>
      <c r="B39" s="57" t="s">
        <v>103</v>
      </c>
      <c r="C39" s="82">
        <f>COUNT(C41:C46)</f>
        <v>2</v>
      </c>
      <c r="D39" s="82">
        <f>COUNT(D41:D46)</f>
        <v>6</v>
      </c>
      <c r="E39" s="82">
        <f>COUNT(E41:E46)</f>
        <v>5</v>
      </c>
      <c r="F39" s="82">
        <f>COUNT(F41:F46)</f>
        <v>0</v>
      </c>
      <c r="G39" s="83">
        <f>SUM(G41:G47)</f>
        <v>30</v>
      </c>
      <c r="H39" s="60">
        <f>SUM(H41:H47)</f>
        <v>720</v>
      </c>
      <c r="I39" s="83">
        <f>SUM(I41:I47)</f>
        <v>232</v>
      </c>
      <c r="J39" s="83">
        <f>SUM(J41:J47)</f>
        <v>224</v>
      </c>
      <c r="K39" s="83">
        <f>SUM(K41:K46)</f>
        <v>0</v>
      </c>
      <c r="L39" s="83"/>
      <c r="M39" s="83"/>
      <c r="N39" s="83">
        <f>SUM(N41:N47)</f>
        <v>264</v>
      </c>
      <c r="O39" s="83">
        <f>SUM(O41:O46)</f>
        <v>0</v>
      </c>
      <c r="P39" s="83"/>
      <c r="Q39" s="83">
        <f>SUM(Q41:Q46)</f>
        <v>0</v>
      </c>
      <c r="R39" s="83">
        <f>SUM(R41:R46)</f>
        <v>0</v>
      </c>
      <c r="S39" s="83">
        <f>SUM(S41:S47)</f>
        <v>450</v>
      </c>
      <c r="T39" s="83">
        <f>SUM(T41:T47)</f>
        <v>200</v>
      </c>
      <c r="U39" s="83">
        <f>SUM(U41:U46)</f>
        <v>70</v>
      </c>
      <c r="V39" s="83">
        <f>SUM(V41:V47)</f>
        <v>0</v>
      </c>
      <c r="W39" s="83">
        <f>SUM(W41:W47)</f>
        <v>0</v>
      </c>
      <c r="X39" s="83">
        <f>SUM(X41:X47)</f>
        <v>0</v>
      </c>
      <c r="Y39" s="194"/>
      <c r="Z39" s="85"/>
      <c r="AA39" s="90"/>
      <c r="AB39" s="85"/>
      <c r="AC39" s="85"/>
      <c r="AD39" s="85"/>
      <c r="AE39" s="85"/>
      <c r="AF39" s="85"/>
      <c r="AG39" s="85"/>
      <c r="AH39" s="85"/>
      <c r="AI39" s="85"/>
      <c r="AJ39" s="85"/>
      <c r="AK39" s="85"/>
    </row>
    <row r="40" spans="1:37" s="96" customFormat="1" ht="54" customHeight="1" outlineLevel="2" x14ac:dyDescent="0.25">
      <c r="A40" s="149"/>
      <c r="B40" s="362" t="s">
        <v>158</v>
      </c>
      <c r="C40" s="363"/>
      <c r="D40" s="363"/>
      <c r="E40" s="363"/>
      <c r="F40" s="363"/>
      <c r="G40" s="363"/>
      <c r="H40" s="363"/>
      <c r="I40" s="363"/>
      <c r="J40" s="363"/>
      <c r="K40" s="363"/>
      <c r="L40" s="363"/>
      <c r="M40" s="363"/>
      <c r="N40" s="363"/>
      <c r="O40" s="363"/>
      <c r="P40" s="363"/>
      <c r="Q40" s="363"/>
      <c r="R40" s="363"/>
      <c r="S40" s="363"/>
      <c r="T40" s="363"/>
      <c r="U40" s="363"/>
      <c r="V40" s="363"/>
      <c r="W40" s="363"/>
      <c r="X40" s="364"/>
      <c r="Y40" s="100"/>
      <c r="Z40" s="97"/>
      <c r="AA40" s="125"/>
      <c r="AB40" s="97"/>
      <c r="AC40" s="97"/>
      <c r="AD40" s="97"/>
      <c r="AE40" s="97"/>
      <c r="AF40" s="97"/>
      <c r="AG40" s="97"/>
      <c r="AH40" s="97"/>
      <c r="AI40" s="97"/>
      <c r="AJ40" s="97"/>
      <c r="AK40" s="97"/>
    </row>
    <row r="41" spans="1:37" s="96" customFormat="1" outlineLevel="2" x14ac:dyDescent="0.25">
      <c r="A41" s="22" t="s">
        <v>159</v>
      </c>
      <c r="B41" s="156" t="s">
        <v>89</v>
      </c>
      <c r="C41" s="34"/>
      <c r="D41" s="35">
        <v>3</v>
      </c>
      <c r="E41" s="35"/>
      <c r="F41" s="35"/>
      <c r="G41" s="35">
        <f>H41/24</f>
        <v>1.5</v>
      </c>
      <c r="H41" s="138">
        <v>36</v>
      </c>
      <c r="I41" s="36"/>
      <c r="J41" s="36"/>
      <c r="K41" s="37"/>
      <c r="L41" s="37"/>
      <c r="M41" s="37"/>
      <c r="N41" s="158">
        <v>36</v>
      </c>
      <c r="O41" s="158"/>
      <c r="P41" s="158"/>
      <c r="Q41" s="158"/>
      <c r="R41" s="38"/>
      <c r="S41" s="26">
        <v>36</v>
      </c>
      <c r="T41" s="24"/>
      <c r="U41" s="24"/>
      <c r="V41" s="24"/>
      <c r="W41" s="65"/>
      <c r="X41" s="35"/>
      <c r="Y41" s="100"/>
      <c r="Z41" s="97"/>
      <c r="AA41" s="125"/>
      <c r="AB41" s="97"/>
      <c r="AC41" s="97"/>
      <c r="AD41" s="97"/>
      <c r="AE41" s="97"/>
      <c r="AF41" s="97"/>
      <c r="AG41" s="97"/>
      <c r="AH41" s="97"/>
      <c r="AI41" s="97"/>
      <c r="AJ41" s="97"/>
      <c r="AK41" s="97"/>
    </row>
    <row r="42" spans="1:37" s="96" customFormat="1" ht="26.4" outlineLevel="2" x14ac:dyDescent="0.25">
      <c r="A42" s="22" t="s">
        <v>204</v>
      </c>
      <c r="B42" s="156" t="s">
        <v>92</v>
      </c>
      <c r="C42" s="35">
        <v>3</v>
      </c>
      <c r="D42" s="35">
        <v>3</v>
      </c>
      <c r="E42" s="35">
        <v>1</v>
      </c>
      <c r="F42" s="35"/>
      <c r="G42" s="35">
        <f>H42/24</f>
        <v>4.5</v>
      </c>
      <c r="H42" s="157">
        <v>108</v>
      </c>
      <c r="I42" s="35">
        <v>72</v>
      </c>
      <c r="J42" s="35">
        <v>36</v>
      </c>
      <c r="K42" s="35"/>
      <c r="L42" s="35"/>
      <c r="M42" s="35"/>
      <c r="N42" s="157"/>
      <c r="O42" s="35"/>
      <c r="P42" s="35"/>
      <c r="Q42" s="35"/>
      <c r="R42" s="35"/>
      <c r="S42" s="24">
        <v>108</v>
      </c>
      <c r="T42" s="24"/>
      <c r="U42" s="24"/>
      <c r="V42" s="24"/>
      <c r="W42" s="65"/>
      <c r="X42" s="35"/>
      <c r="Y42" s="100"/>
      <c r="Z42" s="97"/>
      <c r="AA42" s="125"/>
      <c r="AB42" s="97"/>
      <c r="AC42" s="97"/>
      <c r="AD42" s="97"/>
      <c r="AE42" s="97"/>
      <c r="AF42" s="97"/>
      <c r="AG42" s="97"/>
      <c r="AH42" s="97"/>
      <c r="AI42" s="97"/>
      <c r="AJ42" s="97"/>
      <c r="AK42" s="97"/>
    </row>
    <row r="43" spans="1:37" s="96" customFormat="1" outlineLevel="2" x14ac:dyDescent="0.25">
      <c r="A43" s="22" t="s">
        <v>205</v>
      </c>
      <c r="B43" s="156" t="s">
        <v>93</v>
      </c>
      <c r="C43" s="35"/>
      <c r="D43" s="35">
        <v>3</v>
      </c>
      <c r="E43" s="35">
        <v>1</v>
      </c>
      <c r="F43" s="35"/>
      <c r="G43" s="35">
        <f t="shared" ref="G43" si="14">H43/24</f>
        <v>2</v>
      </c>
      <c r="H43" s="157">
        <v>48</v>
      </c>
      <c r="I43" s="35">
        <v>16</v>
      </c>
      <c r="J43" s="35">
        <v>32</v>
      </c>
      <c r="K43" s="35"/>
      <c r="L43" s="35"/>
      <c r="M43" s="35"/>
      <c r="N43" s="157"/>
      <c r="O43" s="35"/>
      <c r="P43" s="35"/>
      <c r="Q43" s="35"/>
      <c r="R43" s="35"/>
      <c r="S43" s="24">
        <v>48</v>
      </c>
      <c r="T43" s="24"/>
      <c r="U43" s="24"/>
      <c r="V43" s="24"/>
      <c r="W43" s="65"/>
      <c r="X43" s="35"/>
      <c r="Y43" s="100"/>
      <c r="Z43" s="97"/>
      <c r="AA43" s="125"/>
      <c r="AB43" s="97"/>
      <c r="AC43" s="97"/>
      <c r="AD43" s="97"/>
      <c r="AE43" s="97"/>
      <c r="AF43" s="97"/>
      <c r="AG43" s="97"/>
      <c r="AH43" s="97"/>
      <c r="AI43" s="97"/>
      <c r="AJ43" s="97"/>
      <c r="AK43" s="97"/>
    </row>
    <row r="44" spans="1:37" s="96" customFormat="1" outlineLevel="2" x14ac:dyDescent="0.25">
      <c r="A44" s="22" t="s">
        <v>206</v>
      </c>
      <c r="B44" s="156" t="s">
        <v>94</v>
      </c>
      <c r="C44" s="35"/>
      <c r="D44" s="35">
        <v>3</v>
      </c>
      <c r="E44" s="35">
        <v>1</v>
      </c>
      <c r="F44" s="35"/>
      <c r="G44" s="35">
        <f>H44/24</f>
        <v>2</v>
      </c>
      <c r="H44" s="157">
        <v>48</v>
      </c>
      <c r="I44" s="35">
        <v>16</v>
      </c>
      <c r="J44" s="35">
        <v>32</v>
      </c>
      <c r="K44" s="35"/>
      <c r="L44" s="35"/>
      <c r="M44" s="35"/>
      <c r="N44" s="157"/>
      <c r="O44" s="35"/>
      <c r="P44" s="35"/>
      <c r="Q44" s="35"/>
      <c r="R44" s="35"/>
      <c r="S44" s="24"/>
      <c r="T44" s="24">
        <v>48</v>
      </c>
      <c r="U44" s="24"/>
      <c r="V44" s="24"/>
      <c r="W44" s="65"/>
      <c r="X44" s="35"/>
      <c r="Y44" s="100"/>
      <c r="Z44" s="97"/>
      <c r="AA44" s="125"/>
      <c r="AB44" s="97"/>
      <c r="AC44" s="97"/>
      <c r="AD44" s="97"/>
      <c r="AE44" s="97"/>
      <c r="AF44" s="97"/>
      <c r="AG44" s="97"/>
      <c r="AH44" s="97"/>
      <c r="AI44" s="97"/>
      <c r="AJ44" s="97"/>
      <c r="AK44" s="97"/>
    </row>
    <row r="45" spans="1:37" s="96" customFormat="1" ht="26.4" outlineLevel="2" x14ac:dyDescent="0.25">
      <c r="A45" s="22" t="s">
        <v>207</v>
      </c>
      <c r="B45" s="156" t="s">
        <v>62</v>
      </c>
      <c r="C45" s="34"/>
      <c r="D45" s="35">
        <v>3</v>
      </c>
      <c r="E45" s="35">
        <v>1</v>
      </c>
      <c r="F45" s="35"/>
      <c r="G45" s="35">
        <f t="shared" ref="G45:G47" si="15">H45/24</f>
        <v>4</v>
      </c>
      <c r="H45" s="138">
        <v>96</v>
      </c>
      <c r="I45" s="36">
        <v>28</v>
      </c>
      <c r="J45" s="35">
        <f>$H45-$I45-$N45</f>
        <v>20</v>
      </c>
      <c r="K45" s="36"/>
      <c r="L45" s="36"/>
      <c r="M45" s="36"/>
      <c r="N45" s="36">
        <v>48</v>
      </c>
      <c r="O45" s="37"/>
      <c r="P45" s="37"/>
      <c r="Q45" s="158"/>
      <c r="R45" s="38"/>
      <c r="S45" s="26">
        <v>96</v>
      </c>
      <c r="T45" s="26"/>
      <c r="U45" s="26"/>
      <c r="V45" s="24"/>
      <c r="W45" s="65"/>
      <c r="X45" s="35"/>
      <c r="Y45" s="100"/>
      <c r="Z45" s="97"/>
      <c r="AA45" s="125"/>
      <c r="AB45" s="97"/>
      <c r="AC45" s="97"/>
      <c r="AD45" s="97"/>
      <c r="AE45" s="97"/>
      <c r="AF45" s="97"/>
      <c r="AG45" s="97"/>
      <c r="AH45" s="97"/>
      <c r="AI45" s="97"/>
      <c r="AJ45" s="97"/>
      <c r="AK45" s="97"/>
    </row>
    <row r="46" spans="1:37" s="96" customFormat="1" ht="39.6" outlineLevel="2" x14ac:dyDescent="0.25">
      <c r="A46" s="22" t="s">
        <v>208</v>
      </c>
      <c r="B46" s="156" t="s">
        <v>65</v>
      </c>
      <c r="C46" s="34">
        <v>4</v>
      </c>
      <c r="D46" s="35">
        <v>5</v>
      </c>
      <c r="E46" s="35">
        <v>2</v>
      </c>
      <c r="F46" s="35"/>
      <c r="G46" s="35">
        <f t="shared" si="15"/>
        <v>8</v>
      </c>
      <c r="H46" s="138">
        <v>192</v>
      </c>
      <c r="I46" s="36">
        <v>50</v>
      </c>
      <c r="J46" s="35">
        <f>$H46-$I46-$N46</f>
        <v>34</v>
      </c>
      <c r="K46" s="36"/>
      <c r="L46" s="36"/>
      <c r="M46" s="36"/>
      <c r="N46" s="36">
        <v>108</v>
      </c>
      <c r="O46" s="37"/>
      <c r="P46" s="37"/>
      <c r="Q46" s="158"/>
      <c r="R46" s="38"/>
      <c r="S46" s="26">
        <v>80</v>
      </c>
      <c r="T46" s="26">
        <v>42</v>
      </c>
      <c r="U46" s="26">
        <v>70</v>
      </c>
      <c r="V46" s="24"/>
      <c r="W46" s="65"/>
      <c r="X46" s="35"/>
      <c r="Y46" s="100"/>
      <c r="Z46" s="97"/>
      <c r="AA46" s="125"/>
      <c r="AB46" s="97"/>
      <c r="AC46" s="97"/>
      <c r="AD46" s="97"/>
      <c r="AE46" s="97"/>
      <c r="AF46" s="97"/>
      <c r="AG46" s="97"/>
      <c r="AH46" s="97"/>
      <c r="AI46" s="97"/>
      <c r="AJ46" s="97"/>
      <c r="AK46" s="97"/>
    </row>
    <row r="47" spans="1:37" s="96" customFormat="1" ht="26.4" outlineLevel="2" x14ac:dyDescent="0.25">
      <c r="A47" s="24" t="s">
        <v>248</v>
      </c>
      <c r="B47" s="156" t="s">
        <v>102</v>
      </c>
      <c r="C47" s="34"/>
      <c r="D47" s="35">
        <v>3.4</v>
      </c>
      <c r="E47" s="35">
        <v>2</v>
      </c>
      <c r="F47" s="35"/>
      <c r="G47" s="35">
        <f t="shared" si="15"/>
        <v>8</v>
      </c>
      <c r="H47" s="138">
        <v>192</v>
      </c>
      <c r="I47" s="36">
        <v>50</v>
      </c>
      <c r="J47" s="35">
        <f t="shared" ref="J47" si="16">$H47-$I47-$N47</f>
        <v>70</v>
      </c>
      <c r="K47" s="36"/>
      <c r="L47" s="36"/>
      <c r="M47" s="36"/>
      <c r="N47" s="36">
        <v>72</v>
      </c>
      <c r="O47" s="37"/>
      <c r="P47" s="37"/>
      <c r="Q47" s="158"/>
      <c r="R47" s="38"/>
      <c r="S47" s="26">
        <v>82</v>
      </c>
      <c r="T47" s="26">
        <v>110</v>
      </c>
      <c r="U47" s="26"/>
      <c r="V47" s="24"/>
      <c r="W47" s="65"/>
      <c r="X47" s="35"/>
      <c r="Y47" s="100"/>
      <c r="Z47" s="97"/>
      <c r="AA47" s="125"/>
      <c r="AB47" s="97"/>
      <c r="AC47" s="97"/>
      <c r="AD47" s="97"/>
      <c r="AE47" s="97"/>
      <c r="AF47" s="97"/>
      <c r="AG47" s="97"/>
      <c r="AH47" s="97"/>
      <c r="AI47" s="97"/>
      <c r="AJ47" s="97"/>
      <c r="AK47" s="97"/>
    </row>
    <row r="48" spans="1:37" s="84" customFormat="1" ht="52.5" customHeight="1" outlineLevel="2" x14ac:dyDescent="0.25">
      <c r="A48" s="54" t="s">
        <v>161</v>
      </c>
      <c r="B48" s="57" t="s">
        <v>104</v>
      </c>
      <c r="C48" s="86">
        <f ca="1">COUNT(C41:C51)</f>
        <v>0</v>
      </c>
      <c r="D48" s="86">
        <f ca="1">COUNT(D41:D51)</f>
        <v>3</v>
      </c>
      <c r="E48" s="86">
        <f ca="1">COUNT(E41:E51)</f>
        <v>2</v>
      </c>
      <c r="F48" s="86">
        <f ca="1">COUNT(F41:F51)</f>
        <v>1</v>
      </c>
      <c r="G48" s="83">
        <v>17</v>
      </c>
      <c r="H48" s="60">
        <f>SUM(H50:H51)</f>
        <v>408</v>
      </c>
      <c r="I48" s="83">
        <f ca="1">SUM(I41:I51)</f>
        <v>84</v>
      </c>
      <c r="J48" s="83">
        <f ca="1">SUM(J41:J51)</f>
        <v>78</v>
      </c>
      <c r="K48" s="83">
        <f ca="1">SUM(K41:K51)</f>
        <v>30</v>
      </c>
      <c r="L48" s="83"/>
      <c r="M48" s="83"/>
      <c r="N48" s="83">
        <f ca="1">SUM(N41:N51)</f>
        <v>252</v>
      </c>
      <c r="O48" s="83">
        <f ca="1">SUM(O41:O51)</f>
        <v>0</v>
      </c>
      <c r="P48" s="83"/>
      <c r="Q48" s="83">
        <f ca="1">SUM(Q41:Q51)</f>
        <v>0</v>
      </c>
      <c r="R48" s="83">
        <f ca="1">SUM(R41:R51)</f>
        <v>0</v>
      </c>
      <c r="S48" s="83">
        <f ca="1">SUM(S41:S51)</f>
        <v>36</v>
      </c>
      <c r="T48" s="83">
        <f>SUM(T50:T51)</f>
        <v>184</v>
      </c>
      <c r="U48" s="83">
        <f>SUM(U50:U51)</f>
        <v>224</v>
      </c>
      <c r="V48" s="83">
        <f>SUM(V50:V51)</f>
        <v>0</v>
      </c>
      <c r="W48" s="83">
        <f>SUM(W50:W51)</f>
        <v>0</v>
      </c>
      <c r="X48" s="83">
        <f>SUM(X50:X51)</f>
        <v>0</v>
      </c>
      <c r="Y48" s="194"/>
      <c r="Z48" s="85"/>
      <c r="AA48" s="90"/>
      <c r="AB48" s="85"/>
      <c r="AC48" s="85"/>
      <c r="AD48" s="85"/>
      <c r="AE48" s="85"/>
      <c r="AF48" s="85"/>
      <c r="AG48" s="85"/>
      <c r="AH48" s="85"/>
      <c r="AI48" s="85"/>
      <c r="AJ48" s="85"/>
      <c r="AK48" s="85"/>
    </row>
    <row r="49" spans="1:37" s="96" customFormat="1" ht="43.5" customHeight="1" outlineLevel="2" x14ac:dyDescent="0.25">
      <c r="A49" s="149"/>
      <c r="B49" s="362" t="s">
        <v>144</v>
      </c>
      <c r="C49" s="363"/>
      <c r="D49" s="363"/>
      <c r="E49" s="363"/>
      <c r="F49" s="363"/>
      <c r="G49" s="363"/>
      <c r="H49" s="363"/>
      <c r="I49" s="363"/>
      <c r="J49" s="363"/>
      <c r="K49" s="363"/>
      <c r="L49" s="363"/>
      <c r="M49" s="363"/>
      <c r="N49" s="363"/>
      <c r="O49" s="363"/>
      <c r="P49" s="363"/>
      <c r="Q49" s="363"/>
      <c r="R49" s="363"/>
      <c r="S49" s="363"/>
      <c r="T49" s="363"/>
      <c r="U49" s="363"/>
      <c r="V49" s="363"/>
      <c r="W49" s="363"/>
      <c r="X49" s="364"/>
      <c r="Y49" s="100"/>
      <c r="Z49" s="97"/>
      <c r="AA49" s="125"/>
      <c r="AB49" s="97"/>
      <c r="AC49" s="97"/>
      <c r="AD49" s="97"/>
      <c r="AE49" s="97"/>
      <c r="AF49" s="97"/>
      <c r="AG49" s="97"/>
      <c r="AH49" s="97"/>
      <c r="AI49" s="97"/>
      <c r="AJ49" s="97"/>
      <c r="AK49" s="97"/>
    </row>
    <row r="50" spans="1:37" s="96" customFormat="1" ht="25.5" customHeight="1" outlineLevel="2" x14ac:dyDescent="0.25">
      <c r="A50" s="22" t="s">
        <v>247</v>
      </c>
      <c r="B50" s="21" t="s">
        <v>78</v>
      </c>
      <c r="C50" s="23">
        <v>5</v>
      </c>
      <c r="D50" s="24">
        <v>4</v>
      </c>
      <c r="E50" s="24">
        <v>2</v>
      </c>
      <c r="F50" s="24">
        <v>5</v>
      </c>
      <c r="G50" s="24">
        <f>H50/24</f>
        <v>12</v>
      </c>
      <c r="H50" s="32">
        <v>288</v>
      </c>
      <c r="I50" s="27">
        <v>64</v>
      </c>
      <c r="J50" s="24">
        <f>$H50-$I50-$N50-K50</f>
        <v>50</v>
      </c>
      <c r="K50" s="27">
        <v>30</v>
      </c>
      <c r="L50" s="27"/>
      <c r="M50" s="27"/>
      <c r="N50" s="27">
        <v>144</v>
      </c>
      <c r="O50" s="29"/>
      <c r="P50" s="29"/>
      <c r="Q50" s="25"/>
      <c r="R50" s="26"/>
      <c r="S50" s="26"/>
      <c r="T50" s="26">
        <v>64</v>
      </c>
      <c r="U50" s="26">
        <v>224</v>
      </c>
      <c r="V50" s="24"/>
      <c r="W50" s="65"/>
      <c r="X50" s="24"/>
      <c r="Y50" s="100"/>
      <c r="Z50" s="97"/>
      <c r="AA50" s="125"/>
      <c r="AB50" s="97"/>
      <c r="AC50" s="97"/>
      <c r="AD50" s="97"/>
      <c r="AE50" s="97"/>
      <c r="AF50" s="97"/>
      <c r="AG50" s="97"/>
      <c r="AH50" s="97"/>
      <c r="AI50" s="97"/>
      <c r="AJ50" s="97"/>
      <c r="AK50" s="97"/>
    </row>
    <row r="51" spans="1:37" s="96" customFormat="1" ht="26.4" outlineLevel="2" x14ac:dyDescent="0.25">
      <c r="A51" s="22" t="s">
        <v>160</v>
      </c>
      <c r="B51" s="21" t="s">
        <v>95</v>
      </c>
      <c r="C51" s="34"/>
      <c r="D51" s="35">
        <v>4</v>
      </c>
      <c r="E51" s="35">
        <v>2</v>
      </c>
      <c r="F51" s="35"/>
      <c r="G51" s="24">
        <f t="shared" ref="G51:G73" si="17">H51/24</f>
        <v>5</v>
      </c>
      <c r="H51" s="32">
        <v>120</v>
      </c>
      <c r="I51" s="27">
        <v>20</v>
      </c>
      <c r="J51" s="24">
        <f>$H51-$I51-$N51</f>
        <v>28</v>
      </c>
      <c r="K51" s="36"/>
      <c r="L51" s="36"/>
      <c r="M51" s="36"/>
      <c r="N51" s="27">
        <v>72</v>
      </c>
      <c r="O51" s="29"/>
      <c r="P51" s="29"/>
      <c r="Q51" s="25"/>
      <c r="R51" s="26"/>
      <c r="S51" s="26"/>
      <c r="T51" s="26">
        <v>120</v>
      </c>
      <c r="U51" s="26"/>
      <c r="V51" s="24"/>
      <c r="W51" s="65"/>
      <c r="X51" s="24"/>
      <c r="Y51" s="100"/>
      <c r="Z51" s="97"/>
      <c r="AA51" s="125"/>
      <c r="AB51" s="97"/>
      <c r="AC51" s="97"/>
      <c r="AD51" s="97"/>
      <c r="AE51" s="97"/>
      <c r="AF51" s="97"/>
      <c r="AG51" s="97"/>
      <c r="AH51" s="97"/>
      <c r="AI51" s="97"/>
      <c r="AJ51" s="97"/>
      <c r="AK51" s="97"/>
    </row>
    <row r="52" spans="1:37" s="84" customFormat="1" ht="66" outlineLevel="2" x14ac:dyDescent="0.25">
      <c r="A52" s="87" t="s">
        <v>162</v>
      </c>
      <c r="B52" s="58" t="s">
        <v>163</v>
      </c>
      <c r="C52" s="86">
        <f>COUNT(C55)</f>
        <v>0</v>
      </c>
      <c r="D52" s="86">
        <f>COUNT(D55)</f>
        <v>1</v>
      </c>
      <c r="E52" s="86">
        <f>COUNT(E55)</f>
        <v>1</v>
      </c>
      <c r="F52" s="86">
        <f>COUNT(F55)</f>
        <v>0</v>
      </c>
      <c r="G52" s="88">
        <f>SUM(G54:G56)</f>
        <v>13</v>
      </c>
      <c r="H52" s="88">
        <f>SUM(H54:H56)</f>
        <v>312</v>
      </c>
      <c r="I52" s="88">
        <f t="shared" ref="I52:J52" si="18">SUM(I54:I56)</f>
        <v>48</v>
      </c>
      <c r="J52" s="88">
        <f t="shared" si="18"/>
        <v>72</v>
      </c>
      <c r="K52" s="88">
        <f>SUM(K55)</f>
        <v>0</v>
      </c>
      <c r="L52" s="88"/>
      <c r="M52" s="88"/>
      <c r="N52" s="88">
        <f>SUM(N54:N57)</f>
        <v>192</v>
      </c>
      <c r="O52" s="88">
        <f t="shared" ref="O52:R52" si="19">SUM(O54:O57)</f>
        <v>0</v>
      </c>
      <c r="P52" s="88"/>
      <c r="Q52" s="88">
        <f t="shared" si="19"/>
        <v>0</v>
      </c>
      <c r="R52" s="88">
        <f t="shared" si="19"/>
        <v>0</v>
      </c>
      <c r="S52" s="203">
        <f>SUM(S54:S56)</f>
        <v>186</v>
      </c>
      <c r="T52" s="203">
        <f t="shared" ref="T52:X52" si="20">SUM(T54:T56)</f>
        <v>126</v>
      </c>
      <c r="U52" s="88">
        <f t="shared" si="20"/>
        <v>0</v>
      </c>
      <c r="V52" s="88">
        <f t="shared" si="20"/>
        <v>0</v>
      </c>
      <c r="W52" s="88">
        <f t="shared" si="20"/>
        <v>0</v>
      </c>
      <c r="X52" s="88">
        <f t="shared" si="20"/>
        <v>0</v>
      </c>
      <c r="Y52" s="194"/>
      <c r="Z52" s="85"/>
      <c r="AA52" s="90"/>
      <c r="AB52" s="85"/>
      <c r="AC52" s="85"/>
      <c r="AD52" s="85"/>
      <c r="AE52" s="85"/>
      <c r="AF52" s="85"/>
      <c r="AG52" s="85"/>
      <c r="AH52" s="85"/>
      <c r="AI52" s="85"/>
      <c r="AJ52" s="85"/>
      <c r="AK52" s="85"/>
    </row>
    <row r="53" spans="1:37" s="96" customFormat="1" ht="27" customHeight="1" outlineLevel="2" x14ac:dyDescent="0.25">
      <c r="A53" s="154"/>
      <c r="B53" s="362" t="s">
        <v>164</v>
      </c>
      <c r="C53" s="363"/>
      <c r="D53" s="363"/>
      <c r="E53" s="363"/>
      <c r="F53" s="363"/>
      <c r="G53" s="363"/>
      <c r="H53" s="363"/>
      <c r="I53" s="363"/>
      <c r="J53" s="363"/>
      <c r="K53" s="363"/>
      <c r="L53" s="363"/>
      <c r="M53" s="363"/>
      <c r="N53" s="363"/>
      <c r="O53" s="363"/>
      <c r="P53" s="363"/>
      <c r="Q53" s="363"/>
      <c r="R53" s="363"/>
      <c r="S53" s="363"/>
      <c r="T53" s="363"/>
      <c r="U53" s="363"/>
      <c r="V53" s="363"/>
      <c r="W53" s="363"/>
      <c r="X53" s="364"/>
      <c r="Y53" s="100"/>
      <c r="Z53" s="97"/>
      <c r="AA53" s="125"/>
      <c r="AB53" s="97"/>
      <c r="AC53" s="97"/>
      <c r="AD53" s="97"/>
      <c r="AE53" s="97"/>
      <c r="AF53" s="97"/>
      <c r="AG53" s="97"/>
      <c r="AH53" s="97"/>
      <c r="AI53" s="97"/>
      <c r="AJ53" s="97"/>
      <c r="AK53" s="97"/>
    </row>
    <row r="54" spans="1:37" s="96" customFormat="1" ht="27" customHeight="1" outlineLevel="2" x14ac:dyDescent="0.25">
      <c r="A54" s="201" t="s">
        <v>165</v>
      </c>
      <c r="B54" s="156" t="s">
        <v>284</v>
      </c>
      <c r="C54" s="167">
        <v>4</v>
      </c>
      <c r="D54" s="168"/>
      <c r="E54" s="168"/>
      <c r="F54" s="168"/>
      <c r="G54" s="169">
        <f>H54/24</f>
        <v>6</v>
      </c>
      <c r="H54" s="138">
        <v>144</v>
      </c>
      <c r="I54" s="170"/>
      <c r="J54" s="170"/>
      <c r="K54" s="170"/>
      <c r="L54" s="170"/>
      <c r="M54" s="170"/>
      <c r="N54" s="170">
        <v>144</v>
      </c>
      <c r="O54" s="170"/>
      <c r="P54" s="170"/>
      <c r="Q54" s="170"/>
      <c r="R54" s="170"/>
      <c r="S54" s="27">
        <v>144</v>
      </c>
      <c r="T54" s="27"/>
      <c r="U54" s="109"/>
      <c r="V54" s="109"/>
      <c r="W54" s="116"/>
      <c r="X54" s="171"/>
      <c r="Y54" s="100"/>
      <c r="Z54" s="97"/>
      <c r="AA54" s="125"/>
      <c r="AB54" s="97"/>
      <c r="AC54" s="97"/>
      <c r="AD54" s="97"/>
      <c r="AE54" s="97"/>
      <c r="AF54" s="97"/>
      <c r="AG54" s="97"/>
      <c r="AH54" s="97"/>
      <c r="AI54" s="97"/>
      <c r="AJ54" s="97"/>
      <c r="AK54" s="97"/>
    </row>
    <row r="55" spans="1:37" s="96" customFormat="1" ht="25.5" customHeight="1" outlineLevel="2" x14ac:dyDescent="0.25">
      <c r="A55" s="100" t="s">
        <v>166</v>
      </c>
      <c r="B55" s="159" t="s">
        <v>121</v>
      </c>
      <c r="C55" s="160"/>
      <c r="D55" s="161">
        <v>5</v>
      </c>
      <c r="E55" s="161">
        <v>1</v>
      </c>
      <c r="F55" s="161"/>
      <c r="G55" s="162">
        <f>H55/24</f>
        <v>3</v>
      </c>
      <c r="H55" s="163">
        <v>72</v>
      </c>
      <c r="I55" s="164">
        <v>32</v>
      </c>
      <c r="J55" s="35">
        <f>$H55-$I55-$N55</f>
        <v>40</v>
      </c>
      <c r="K55" s="164"/>
      <c r="L55" s="164"/>
      <c r="M55" s="164"/>
      <c r="N55" s="164"/>
      <c r="O55" s="165"/>
      <c r="P55" s="165"/>
      <c r="Q55" s="166"/>
      <c r="R55" s="164"/>
      <c r="S55" s="205"/>
      <c r="T55" s="205">
        <v>72</v>
      </c>
      <c r="U55" s="205"/>
      <c r="V55" s="205"/>
      <c r="W55" s="164"/>
      <c r="X55" s="164"/>
      <c r="Y55" s="100"/>
      <c r="Z55" s="97"/>
      <c r="AA55" s="125"/>
      <c r="AB55" s="97"/>
      <c r="AC55" s="97"/>
      <c r="AD55" s="97"/>
      <c r="AE55" s="97"/>
      <c r="AF55" s="97"/>
      <c r="AG55" s="97"/>
      <c r="AH55" s="97"/>
      <c r="AI55" s="97"/>
      <c r="AJ55" s="97"/>
      <c r="AK55" s="97"/>
    </row>
    <row r="56" spans="1:37" s="96" customFormat="1" ht="15.75" customHeight="1" outlineLevel="2" x14ac:dyDescent="0.25">
      <c r="A56" s="201" t="s">
        <v>167</v>
      </c>
      <c r="B56" s="156" t="s">
        <v>120</v>
      </c>
      <c r="C56" s="34"/>
      <c r="D56" s="35">
        <v>5</v>
      </c>
      <c r="E56" s="35">
        <v>1</v>
      </c>
      <c r="F56" s="35"/>
      <c r="G56" s="35">
        <v>4</v>
      </c>
      <c r="H56" s="138">
        <v>96</v>
      </c>
      <c r="I56" s="36">
        <v>16</v>
      </c>
      <c r="J56" s="35">
        <f>$H56-$I56-$N56</f>
        <v>32</v>
      </c>
      <c r="K56" s="36"/>
      <c r="L56" s="36"/>
      <c r="M56" s="36"/>
      <c r="N56" s="36">
        <v>48</v>
      </c>
      <c r="O56" s="37"/>
      <c r="P56" s="37"/>
      <c r="Q56" s="158"/>
      <c r="R56" s="38"/>
      <c r="S56" s="26">
        <v>42</v>
      </c>
      <c r="T56" s="26">
        <v>54</v>
      </c>
      <c r="U56" s="26"/>
      <c r="V56" s="24"/>
      <c r="W56" s="35"/>
      <c r="X56" s="35"/>
      <c r="Y56" s="100"/>
      <c r="Z56" s="97"/>
      <c r="AA56" s="125"/>
      <c r="AB56" s="97"/>
      <c r="AC56" s="97"/>
      <c r="AD56" s="97"/>
      <c r="AE56" s="97"/>
      <c r="AF56" s="97"/>
      <c r="AG56" s="97"/>
      <c r="AH56" s="97"/>
      <c r="AI56" s="97"/>
      <c r="AJ56" s="97"/>
      <c r="AK56" s="97"/>
    </row>
    <row r="57" spans="1:37" s="96" customFormat="1" outlineLevel="2" x14ac:dyDescent="0.25">
      <c r="A57" s="153" t="s">
        <v>240</v>
      </c>
      <c r="B57" s="147" t="s">
        <v>27</v>
      </c>
      <c r="C57" s="11"/>
      <c r="D57" s="8"/>
      <c r="E57" s="8"/>
      <c r="F57" s="8"/>
      <c r="G57" s="145">
        <v>3</v>
      </c>
      <c r="H57" s="146">
        <v>72</v>
      </c>
      <c r="I57" s="9">
        <v>72</v>
      </c>
      <c r="J57" s="23"/>
      <c r="K57" s="9"/>
      <c r="L57" s="9"/>
      <c r="M57" s="9"/>
      <c r="N57" s="9"/>
      <c r="O57" s="9"/>
      <c r="P57" s="9"/>
      <c r="Q57" s="10"/>
      <c r="R57" s="9"/>
      <c r="S57" s="9">
        <v>36</v>
      </c>
      <c r="T57" s="9">
        <v>36</v>
      </c>
      <c r="U57" s="9"/>
      <c r="V57" s="9"/>
      <c r="W57" s="9"/>
      <c r="X57" s="9"/>
      <c r="Y57" s="100"/>
      <c r="Z57" s="97"/>
      <c r="AA57" s="125"/>
      <c r="AB57" s="97"/>
      <c r="AC57" s="97"/>
      <c r="AD57" s="97"/>
      <c r="AE57" s="97"/>
      <c r="AF57" s="97"/>
      <c r="AG57" s="97"/>
      <c r="AH57" s="97"/>
      <c r="AI57" s="97"/>
      <c r="AJ57" s="97"/>
      <c r="AK57" s="97"/>
    </row>
    <row r="58" spans="1:37" s="80" customFormat="1" outlineLevel="2" x14ac:dyDescent="0.25">
      <c r="A58" s="210"/>
      <c r="B58" s="211" t="s">
        <v>135</v>
      </c>
      <c r="C58" s="212">
        <f ca="1">SUM(C26+C29+C32+C39+C48+C52)</f>
        <v>3</v>
      </c>
      <c r="D58" s="212">
        <f ca="1">SUM(D26+D29+D32+D39+D48+D52)</f>
        <v>16</v>
      </c>
      <c r="E58" s="212">
        <f ca="1">SUM(E26+E29+E32+E39+E48+E52)</f>
        <v>14</v>
      </c>
      <c r="F58" s="212">
        <f ca="1">SUM(F26+F29+F32+F39+F48+F52)</f>
        <v>1</v>
      </c>
      <c r="G58" s="212">
        <f>SUM(G26+G29+G32+G39+G48+G52+G57)</f>
        <v>83.5</v>
      </c>
      <c r="H58" s="212">
        <f>SUM(H26+H29+H32+H39+H48+H52)-U58-V58-W58-X58+72</f>
        <v>1440</v>
      </c>
      <c r="I58" s="212">
        <f ca="1">SUM(I26+I29+I32+I39+I48+I52)</f>
        <v>438</v>
      </c>
      <c r="J58" s="212">
        <f ca="1">SUM(J26+J29+J32+J39+J48+J52)</f>
        <v>828</v>
      </c>
      <c r="K58" s="212">
        <f ca="1">SUM(K26+K29+K32+K39+K48+K52)</f>
        <v>30</v>
      </c>
      <c r="L58" s="212"/>
      <c r="M58" s="212"/>
      <c r="N58" s="212">
        <f ca="1">SUM(N26+N29+N32+N39+N48+N52)</f>
        <v>636</v>
      </c>
      <c r="O58" s="212">
        <f ca="1">SUM(O26+O29+O32+O39+O48+O52)</f>
        <v>0</v>
      </c>
      <c r="P58" s="212"/>
      <c r="Q58" s="212">
        <f ca="1">SUM(Q26+Q29+Q32+Q39+Q48+Q52)</f>
        <v>0</v>
      </c>
      <c r="R58" s="212">
        <f ca="1">SUM(R26+R29+R32+R39+R48+R52)</f>
        <v>0</v>
      </c>
      <c r="S58" s="213">
        <f t="shared" ref="S58:X58" ca="1" si="21">SUM(S26+S29+S32+S39+S48+S52+S57)</f>
        <v>828</v>
      </c>
      <c r="T58" s="213">
        <f t="shared" si="21"/>
        <v>612</v>
      </c>
      <c r="U58" s="214">
        <f t="shared" si="21"/>
        <v>414</v>
      </c>
      <c r="V58" s="214">
        <f t="shared" si="21"/>
        <v>48</v>
      </c>
      <c r="W58" s="214">
        <f t="shared" si="21"/>
        <v>42</v>
      </c>
      <c r="X58" s="214">
        <f t="shared" si="21"/>
        <v>60</v>
      </c>
      <c r="Y58" s="195"/>
      <c r="Z58" s="74"/>
      <c r="AA58" s="198"/>
      <c r="AB58" s="81"/>
      <c r="AC58" s="81"/>
      <c r="AD58" s="81"/>
      <c r="AE58" s="81"/>
      <c r="AF58" s="81"/>
      <c r="AG58" s="81"/>
      <c r="AH58" s="81"/>
      <c r="AI58" s="81"/>
      <c r="AJ58" s="81"/>
      <c r="AK58" s="81"/>
    </row>
    <row r="59" spans="1:37" s="84" customFormat="1" ht="26.25" customHeight="1" outlineLevel="2" x14ac:dyDescent="0.25">
      <c r="A59" s="54" t="s">
        <v>168</v>
      </c>
      <c r="B59" s="57" t="s">
        <v>105</v>
      </c>
      <c r="C59" s="86">
        <f>COUNT(C61:C64)</f>
        <v>1</v>
      </c>
      <c r="D59" s="86">
        <f>COUNT(D61:D64)</f>
        <v>4</v>
      </c>
      <c r="E59" s="86">
        <f t="shared" ref="E59:F59" si="22">COUNT(E61:E64)</f>
        <v>4</v>
      </c>
      <c r="F59" s="86">
        <f t="shared" si="22"/>
        <v>0</v>
      </c>
      <c r="G59" s="83">
        <f t="shared" ref="G59:H59" si="23">SUM(G61:G64)</f>
        <v>18</v>
      </c>
      <c r="H59" s="60">
        <f t="shared" si="23"/>
        <v>432</v>
      </c>
      <c r="I59" s="83">
        <f>SUM(I61:I64)</f>
        <v>88</v>
      </c>
      <c r="J59" s="83">
        <f>SUM(J61:J64)</f>
        <v>116</v>
      </c>
      <c r="K59" s="83">
        <f t="shared" ref="K59:X59" si="24">SUM(K61:K64)</f>
        <v>0</v>
      </c>
      <c r="L59" s="83"/>
      <c r="M59" s="83"/>
      <c r="N59" s="83">
        <f>SUM(N61:N64)</f>
        <v>228</v>
      </c>
      <c r="O59" s="83">
        <f t="shared" si="24"/>
        <v>0</v>
      </c>
      <c r="P59" s="83"/>
      <c r="Q59" s="83">
        <f t="shared" si="24"/>
        <v>0</v>
      </c>
      <c r="R59" s="83">
        <f t="shared" si="24"/>
        <v>0</v>
      </c>
      <c r="S59" s="83">
        <f t="shared" si="24"/>
        <v>0</v>
      </c>
      <c r="T59" s="83">
        <f t="shared" si="24"/>
        <v>0</v>
      </c>
      <c r="U59" s="83">
        <f t="shared" si="24"/>
        <v>222</v>
      </c>
      <c r="V59" s="83">
        <f t="shared" si="24"/>
        <v>210</v>
      </c>
      <c r="W59" s="83">
        <f t="shared" si="24"/>
        <v>0</v>
      </c>
      <c r="X59" s="83">
        <f t="shared" si="24"/>
        <v>0</v>
      </c>
      <c r="Y59" s="194"/>
      <c r="Z59" s="85"/>
      <c r="AA59" s="90"/>
      <c r="AB59" s="85"/>
      <c r="AC59" s="85"/>
      <c r="AD59" s="85"/>
      <c r="AE59" s="85"/>
      <c r="AF59" s="85"/>
      <c r="AG59" s="85"/>
      <c r="AH59" s="85"/>
      <c r="AI59" s="85"/>
      <c r="AJ59" s="85"/>
      <c r="AK59" s="85"/>
    </row>
    <row r="60" spans="1:37" s="96" customFormat="1" ht="40.5" customHeight="1" outlineLevel="2" x14ac:dyDescent="0.25">
      <c r="A60" s="149"/>
      <c r="B60" s="362" t="s">
        <v>145</v>
      </c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63"/>
      <c r="P60" s="363"/>
      <c r="Q60" s="363"/>
      <c r="R60" s="363"/>
      <c r="S60" s="363"/>
      <c r="T60" s="363"/>
      <c r="U60" s="363"/>
      <c r="V60" s="363"/>
      <c r="W60" s="363"/>
      <c r="X60" s="364"/>
      <c r="Y60" s="100"/>
      <c r="Z60" s="97"/>
      <c r="AA60" s="125"/>
      <c r="AB60" s="97"/>
      <c r="AC60" s="97"/>
      <c r="AD60" s="97"/>
      <c r="AE60" s="97"/>
      <c r="AF60" s="97"/>
      <c r="AG60" s="97"/>
      <c r="AH60" s="97"/>
      <c r="AI60" s="97"/>
      <c r="AJ60" s="97"/>
      <c r="AK60" s="97"/>
    </row>
    <row r="61" spans="1:37" s="96" customFormat="1" ht="26.4" outlineLevel="2" x14ac:dyDescent="0.25">
      <c r="A61" s="22" t="s">
        <v>169</v>
      </c>
      <c r="B61" s="105" t="s">
        <v>79</v>
      </c>
      <c r="C61" s="34">
        <v>6</v>
      </c>
      <c r="D61" s="35">
        <v>5</v>
      </c>
      <c r="E61" s="35">
        <v>2</v>
      </c>
      <c r="F61" s="35"/>
      <c r="G61" s="24">
        <f t="shared" si="17"/>
        <v>10</v>
      </c>
      <c r="H61" s="138">
        <v>240</v>
      </c>
      <c r="I61" s="36">
        <v>46</v>
      </c>
      <c r="J61" s="24">
        <f t="shared" ref="J61:J69" si="25">$H61-$I61-$N61</f>
        <v>50</v>
      </c>
      <c r="K61" s="36"/>
      <c r="L61" s="36"/>
      <c r="M61" s="36"/>
      <c r="N61" s="27">
        <v>144</v>
      </c>
      <c r="O61" s="37"/>
      <c r="P61" s="37"/>
      <c r="Q61" s="25"/>
      <c r="R61" s="38"/>
      <c r="S61" s="26"/>
      <c r="T61" s="26"/>
      <c r="U61" s="26">
        <v>50</v>
      </c>
      <c r="V61" s="24">
        <v>190</v>
      </c>
      <c r="W61" s="65"/>
      <c r="X61" s="24"/>
      <c r="Y61" s="100"/>
      <c r="Z61" s="97"/>
      <c r="AA61" s="125"/>
      <c r="AB61" s="97"/>
      <c r="AC61" s="97"/>
      <c r="AD61" s="97"/>
      <c r="AE61" s="97"/>
      <c r="AF61" s="97"/>
      <c r="AG61" s="97"/>
      <c r="AH61" s="97"/>
      <c r="AI61" s="97"/>
      <c r="AJ61" s="97"/>
      <c r="AK61" s="97"/>
    </row>
    <row r="62" spans="1:37" s="96" customFormat="1" ht="15" customHeight="1" outlineLevel="2" x14ac:dyDescent="0.25">
      <c r="A62" s="22" t="s">
        <v>170</v>
      </c>
      <c r="B62" s="21" t="s">
        <v>107</v>
      </c>
      <c r="C62" s="23"/>
      <c r="D62" s="24">
        <v>5</v>
      </c>
      <c r="E62" s="24">
        <v>1</v>
      </c>
      <c r="F62" s="24"/>
      <c r="G62" s="24">
        <f t="shared" si="17"/>
        <v>3</v>
      </c>
      <c r="H62" s="32">
        <v>72</v>
      </c>
      <c r="I62" s="27">
        <v>20</v>
      </c>
      <c r="J62" s="24">
        <f t="shared" si="25"/>
        <v>28</v>
      </c>
      <c r="K62" s="27"/>
      <c r="L62" s="27"/>
      <c r="M62" s="27"/>
      <c r="N62" s="27">
        <v>24</v>
      </c>
      <c r="O62" s="29"/>
      <c r="P62" s="29"/>
      <c r="Q62" s="25"/>
      <c r="R62" s="26"/>
      <c r="S62" s="26"/>
      <c r="T62" s="26"/>
      <c r="U62" s="26">
        <v>72</v>
      </c>
      <c r="V62" s="24"/>
      <c r="W62" s="65"/>
      <c r="X62" s="24"/>
      <c r="Y62" s="100"/>
      <c r="Z62" s="97"/>
      <c r="AA62" s="125"/>
      <c r="AB62" s="97"/>
      <c r="AC62" s="97"/>
      <c r="AD62" s="97"/>
      <c r="AE62" s="97"/>
      <c r="AF62" s="97"/>
      <c r="AG62" s="97"/>
      <c r="AH62" s="97"/>
      <c r="AI62" s="97"/>
      <c r="AJ62" s="97"/>
      <c r="AK62" s="97"/>
    </row>
    <row r="63" spans="1:37" s="96" customFormat="1" outlineLevel="2" x14ac:dyDescent="0.25">
      <c r="A63" s="22" t="s">
        <v>171</v>
      </c>
      <c r="B63" s="65" t="s">
        <v>106</v>
      </c>
      <c r="C63" s="23"/>
      <c r="D63" s="24">
        <v>5</v>
      </c>
      <c r="E63" s="24">
        <v>1</v>
      </c>
      <c r="F63" s="24"/>
      <c r="G63" s="24">
        <f t="shared" si="17"/>
        <v>3</v>
      </c>
      <c r="H63" s="32">
        <v>72</v>
      </c>
      <c r="I63" s="27">
        <v>12</v>
      </c>
      <c r="J63" s="24">
        <f t="shared" si="25"/>
        <v>24</v>
      </c>
      <c r="K63" s="27"/>
      <c r="L63" s="27"/>
      <c r="M63" s="27"/>
      <c r="N63" s="27">
        <v>36</v>
      </c>
      <c r="O63" s="29"/>
      <c r="P63" s="29"/>
      <c r="Q63" s="25"/>
      <c r="R63" s="26"/>
      <c r="S63" s="26"/>
      <c r="T63" s="26"/>
      <c r="U63" s="26">
        <v>72</v>
      </c>
      <c r="V63" s="24"/>
      <c r="W63" s="65"/>
      <c r="X63" s="24"/>
      <c r="Y63" s="196"/>
      <c r="Z63" s="97"/>
      <c r="AA63" s="125"/>
      <c r="AB63" s="97"/>
      <c r="AC63" s="97"/>
      <c r="AD63" s="97"/>
      <c r="AE63" s="97"/>
      <c r="AF63" s="97"/>
      <c r="AG63" s="97"/>
      <c r="AH63" s="97"/>
      <c r="AI63" s="97"/>
      <c r="AJ63" s="97"/>
      <c r="AK63" s="97"/>
    </row>
    <row r="64" spans="1:37" s="96" customFormat="1" outlineLevel="2" x14ac:dyDescent="0.25">
      <c r="A64" s="22" t="s">
        <v>172</v>
      </c>
      <c r="B64" s="21" t="s">
        <v>80</v>
      </c>
      <c r="C64" s="23"/>
      <c r="D64" s="24">
        <v>6</v>
      </c>
      <c r="E64" s="24">
        <v>1</v>
      </c>
      <c r="F64" s="24"/>
      <c r="G64" s="24">
        <f t="shared" si="17"/>
        <v>2</v>
      </c>
      <c r="H64" s="32">
        <v>48</v>
      </c>
      <c r="I64" s="27">
        <v>10</v>
      </c>
      <c r="J64" s="24">
        <f t="shared" si="25"/>
        <v>14</v>
      </c>
      <c r="K64" s="27"/>
      <c r="L64" s="27"/>
      <c r="M64" s="27"/>
      <c r="N64" s="27">
        <v>24</v>
      </c>
      <c r="O64" s="29"/>
      <c r="P64" s="29"/>
      <c r="Q64" s="25"/>
      <c r="R64" s="26"/>
      <c r="S64" s="26"/>
      <c r="T64" s="26"/>
      <c r="U64" s="26">
        <v>28</v>
      </c>
      <c r="V64" s="24">
        <v>20</v>
      </c>
      <c r="W64" s="65"/>
      <c r="X64" s="24"/>
      <c r="Y64" s="100"/>
      <c r="Z64" s="97"/>
      <c r="AA64" s="125"/>
      <c r="AB64" s="97"/>
      <c r="AC64" s="97"/>
      <c r="AD64" s="97"/>
      <c r="AE64" s="97"/>
      <c r="AF64" s="97"/>
      <c r="AG64" s="97"/>
      <c r="AH64" s="97"/>
      <c r="AI64" s="97"/>
      <c r="AJ64" s="97"/>
      <c r="AK64" s="97"/>
    </row>
    <row r="65" spans="1:37" s="84" customFormat="1" ht="39.6" outlineLevel="2" x14ac:dyDescent="0.25">
      <c r="A65" s="87" t="s">
        <v>173</v>
      </c>
      <c r="B65" s="57" t="s">
        <v>141</v>
      </c>
      <c r="C65" s="86">
        <f>COUNT(C67:C69)</f>
        <v>0</v>
      </c>
      <c r="D65" s="86">
        <f t="shared" ref="D65:F65" si="26">COUNT(D67:D69)</f>
        <v>3</v>
      </c>
      <c r="E65" s="86">
        <f t="shared" si="26"/>
        <v>3</v>
      </c>
      <c r="F65" s="86">
        <f t="shared" si="26"/>
        <v>0</v>
      </c>
      <c r="G65" s="83">
        <f>SUM(G67:G69)</f>
        <v>7.5</v>
      </c>
      <c r="H65" s="60">
        <f>SUM(H67:H69)</f>
        <v>180</v>
      </c>
      <c r="I65" s="83">
        <f>SUM(I67:I69)</f>
        <v>36</v>
      </c>
      <c r="J65" s="83">
        <f>SUM(J67:J69)</f>
        <v>72</v>
      </c>
      <c r="K65" s="83">
        <f t="shared" ref="K65:X65" si="27">SUM(K67:K69)</f>
        <v>0</v>
      </c>
      <c r="L65" s="83"/>
      <c r="M65" s="83"/>
      <c r="N65" s="83">
        <f>SUM(N67:N69)</f>
        <v>72</v>
      </c>
      <c r="O65" s="83">
        <f t="shared" si="27"/>
        <v>0</v>
      </c>
      <c r="P65" s="83"/>
      <c r="Q65" s="83">
        <f t="shared" si="27"/>
        <v>0</v>
      </c>
      <c r="R65" s="83">
        <f t="shared" si="27"/>
        <v>0</v>
      </c>
      <c r="S65" s="83">
        <f t="shared" si="27"/>
        <v>0</v>
      </c>
      <c r="T65" s="83">
        <f t="shared" si="27"/>
        <v>0</v>
      </c>
      <c r="U65" s="83">
        <f t="shared" si="27"/>
        <v>156</v>
      </c>
      <c r="V65" s="83">
        <f t="shared" si="27"/>
        <v>24</v>
      </c>
      <c r="W65" s="83">
        <f t="shared" si="27"/>
        <v>0</v>
      </c>
      <c r="X65" s="83">
        <f t="shared" si="27"/>
        <v>0</v>
      </c>
      <c r="Y65" s="194"/>
      <c r="Z65" s="85"/>
      <c r="AA65" s="90"/>
      <c r="AB65" s="85"/>
      <c r="AC65" s="85"/>
      <c r="AD65" s="85"/>
      <c r="AE65" s="85"/>
      <c r="AF65" s="85"/>
      <c r="AG65" s="85"/>
      <c r="AH65" s="85"/>
      <c r="AI65" s="85"/>
      <c r="AJ65" s="85"/>
      <c r="AK65" s="85"/>
    </row>
    <row r="66" spans="1:37" s="96" customFormat="1" ht="52.5" customHeight="1" outlineLevel="2" x14ac:dyDescent="0.25">
      <c r="A66" s="154"/>
      <c r="B66" s="362" t="s">
        <v>146</v>
      </c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4"/>
      <c r="Y66" s="100"/>
      <c r="Z66" s="97"/>
      <c r="AA66" s="125"/>
      <c r="AB66" s="97"/>
      <c r="AC66" s="97"/>
      <c r="AD66" s="97"/>
      <c r="AE66" s="97"/>
      <c r="AF66" s="97"/>
      <c r="AG66" s="97"/>
      <c r="AH66" s="97"/>
      <c r="AI66" s="97"/>
      <c r="AJ66" s="97"/>
      <c r="AK66" s="97"/>
    </row>
    <row r="67" spans="1:37" s="96" customFormat="1" outlineLevel="2" x14ac:dyDescent="0.25">
      <c r="A67" s="22" t="s">
        <v>174</v>
      </c>
      <c r="B67" s="65" t="s">
        <v>106</v>
      </c>
      <c r="C67" s="111"/>
      <c r="D67" s="111">
        <v>5</v>
      </c>
      <c r="E67" s="111">
        <v>1</v>
      </c>
      <c r="F67" s="111"/>
      <c r="G67" s="24">
        <f t="shared" si="17"/>
        <v>4.5</v>
      </c>
      <c r="H67" s="32">
        <v>108</v>
      </c>
      <c r="I67" s="109">
        <v>20</v>
      </c>
      <c r="J67" s="24">
        <f t="shared" si="25"/>
        <v>40</v>
      </c>
      <c r="K67" s="109"/>
      <c r="L67" s="109"/>
      <c r="M67" s="109"/>
      <c r="N67" s="109">
        <v>48</v>
      </c>
      <c r="O67" s="110"/>
      <c r="P67" s="110"/>
      <c r="Q67" s="110"/>
      <c r="R67" s="109"/>
      <c r="S67" s="27"/>
      <c r="T67" s="27"/>
      <c r="U67" s="109">
        <v>108</v>
      </c>
      <c r="V67" s="107"/>
      <c r="W67" s="107"/>
      <c r="X67" s="107"/>
      <c r="Y67" s="100"/>
      <c r="Z67" s="97"/>
      <c r="AA67" s="125"/>
      <c r="AB67" s="97"/>
      <c r="AC67" s="97"/>
      <c r="AD67" s="97"/>
      <c r="AE67" s="97"/>
      <c r="AF67" s="97"/>
      <c r="AG67" s="97"/>
      <c r="AH67" s="97"/>
      <c r="AI67" s="97"/>
      <c r="AJ67" s="97"/>
      <c r="AK67" s="97"/>
    </row>
    <row r="68" spans="1:37" s="96" customFormat="1" ht="26.4" outlineLevel="2" x14ac:dyDescent="0.25">
      <c r="A68" s="112" t="s">
        <v>175</v>
      </c>
      <c r="B68" s="21" t="s">
        <v>108</v>
      </c>
      <c r="C68" s="113"/>
      <c r="D68" s="61">
        <v>5</v>
      </c>
      <c r="E68" s="61">
        <v>1</v>
      </c>
      <c r="F68" s="114"/>
      <c r="G68" s="61">
        <f t="shared" si="17"/>
        <v>1</v>
      </c>
      <c r="H68" s="32">
        <v>24</v>
      </c>
      <c r="I68" s="109">
        <v>8</v>
      </c>
      <c r="J68" s="24">
        <f t="shared" si="25"/>
        <v>16</v>
      </c>
      <c r="K68" s="107"/>
      <c r="L68" s="107"/>
      <c r="M68" s="107"/>
      <c r="N68" s="107"/>
      <c r="O68" s="108"/>
      <c r="P68" s="108"/>
      <c r="Q68" s="25"/>
      <c r="R68" s="107"/>
      <c r="S68" s="107"/>
      <c r="T68" s="107"/>
      <c r="U68" s="109"/>
      <c r="V68" s="109">
        <v>24</v>
      </c>
      <c r="W68" s="116"/>
      <c r="X68" s="107"/>
      <c r="Y68" s="100"/>
      <c r="Z68" s="97"/>
      <c r="AA68" s="125"/>
      <c r="AB68" s="97"/>
      <c r="AC68" s="97"/>
      <c r="AD68" s="97"/>
      <c r="AE68" s="97"/>
      <c r="AF68" s="97"/>
      <c r="AG68" s="97"/>
      <c r="AH68" s="97"/>
      <c r="AI68" s="97"/>
      <c r="AJ68" s="97"/>
      <c r="AK68" s="97"/>
    </row>
    <row r="69" spans="1:37" s="96" customFormat="1" outlineLevel="2" x14ac:dyDescent="0.25">
      <c r="A69" s="112" t="s">
        <v>176</v>
      </c>
      <c r="B69" s="24" t="s">
        <v>109</v>
      </c>
      <c r="C69" s="23"/>
      <c r="D69" s="24">
        <v>5</v>
      </c>
      <c r="E69" s="61">
        <v>1</v>
      </c>
      <c r="F69" s="24"/>
      <c r="G69" s="61">
        <f t="shared" si="17"/>
        <v>2</v>
      </c>
      <c r="H69" s="32">
        <v>48</v>
      </c>
      <c r="I69" s="27">
        <v>8</v>
      </c>
      <c r="J69" s="24">
        <f t="shared" si="25"/>
        <v>16</v>
      </c>
      <c r="K69" s="27"/>
      <c r="L69" s="27"/>
      <c r="M69" s="27"/>
      <c r="N69" s="27">
        <v>24</v>
      </c>
      <c r="O69" s="29"/>
      <c r="P69" s="29"/>
      <c r="Q69" s="25"/>
      <c r="R69" s="26"/>
      <c r="S69" s="26"/>
      <c r="T69" s="26"/>
      <c r="U69" s="26">
        <v>48</v>
      </c>
      <c r="V69" s="24"/>
      <c r="W69" s="65"/>
      <c r="X69" s="24"/>
      <c r="Y69" s="100"/>
      <c r="Z69" s="97"/>
      <c r="AA69" s="125"/>
      <c r="AB69" s="97"/>
      <c r="AC69" s="97"/>
      <c r="AD69" s="97"/>
      <c r="AE69" s="97"/>
      <c r="AF69" s="97"/>
      <c r="AG69" s="97"/>
      <c r="AH69" s="97"/>
      <c r="AI69" s="97"/>
      <c r="AJ69" s="97"/>
      <c r="AK69" s="97"/>
    </row>
    <row r="70" spans="1:37" s="84" customFormat="1" ht="26.4" outlineLevel="2" x14ac:dyDescent="0.25">
      <c r="A70" s="54" t="s">
        <v>177</v>
      </c>
      <c r="B70" s="58" t="s">
        <v>110</v>
      </c>
      <c r="C70" s="86">
        <f>COUNT(C72:C78)</f>
        <v>1</v>
      </c>
      <c r="D70" s="86">
        <f>COUNT(D72:D78)</f>
        <v>7</v>
      </c>
      <c r="E70" s="86">
        <f>COUNT(E72:E78)</f>
        <v>6</v>
      </c>
      <c r="F70" s="86">
        <f>COUNT(F72:F78)</f>
        <v>0</v>
      </c>
      <c r="G70" s="83">
        <f t="shared" ref="G70:X70" si="28">SUM(G72:G78)</f>
        <v>25</v>
      </c>
      <c r="H70" s="60">
        <f t="shared" si="28"/>
        <v>600</v>
      </c>
      <c r="I70" s="83">
        <f t="shared" si="28"/>
        <v>96</v>
      </c>
      <c r="J70" s="83">
        <f t="shared" si="28"/>
        <v>192</v>
      </c>
      <c r="K70" s="83">
        <f t="shared" si="28"/>
        <v>0</v>
      </c>
      <c r="L70" s="83"/>
      <c r="M70" s="83"/>
      <c r="N70" s="83">
        <f t="shared" si="28"/>
        <v>96</v>
      </c>
      <c r="O70" s="83">
        <f t="shared" si="28"/>
        <v>216</v>
      </c>
      <c r="P70" s="83"/>
      <c r="Q70" s="83">
        <f t="shared" si="28"/>
        <v>0</v>
      </c>
      <c r="R70" s="83">
        <f t="shared" si="28"/>
        <v>0</v>
      </c>
      <c r="S70" s="83">
        <f t="shared" si="28"/>
        <v>0</v>
      </c>
      <c r="T70" s="83">
        <f t="shared" si="28"/>
        <v>0</v>
      </c>
      <c r="U70" s="83">
        <f t="shared" si="28"/>
        <v>0</v>
      </c>
      <c r="V70" s="83">
        <f t="shared" si="28"/>
        <v>150</v>
      </c>
      <c r="W70" s="83">
        <f t="shared" si="28"/>
        <v>186</v>
      </c>
      <c r="X70" s="83">
        <f t="shared" si="28"/>
        <v>264</v>
      </c>
      <c r="Y70" s="194"/>
      <c r="Z70" s="85"/>
      <c r="AA70" s="90"/>
      <c r="AB70" s="85"/>
      <c r="AC70" s="85"/>
      <c r="AD70" s="85"/>
      <c r="AE70" s="85"/>
      <c r="AF70" s="85"/>
      <c r="AG70" s="85"/>
      <c r="AH70" s="85"/>
      <c r="AI70" s="85"/>
      <c r="AJ70" s="85"/>
      <c r="AK70" s="85"/>
    </row>
    <row r="71" spans="1:37" s="96" customFormat="1" ht="44.25" customHeight="1" outlineLevel="2" x14ac:dyDescent="0.25">
      <c r="A71" s="149"/>
      <c r="B71" s="362" t="s">
        <v>147</v>
      </c>
      <c r="C71" s="363"/>
      <c r="D71" s="363"/>
      <c r="E71" s="363"/>
      <c r="F71" s="363"/>
      <c r="G71" s="363"/>
      <c r="H71" s="363"/>
      <c r="I71" s="363"/>
      <c r="J71" s="363"/>
      <c r="K71" s="363"/>
      <c r="L71" s="363"/>
      <c r="M71" s="363"/>
      <c r="N71" s="363"/>
      <c r="O71" s="363"/>
      <c r="P71" s="363"/>
      <c r="Q71" s="363"/>
      <c r="R71" s="363"/>
      <c r="S71" s="363"/>
      <c r="T71" s="363"/>
      <c r="U71" s="363"/>
      <c r="V71" s="363"/>
      <c r="W71" s="363"/>
      <c r="X71" s="364"/>
      <c r="Y71" s="100"/>
      <c r="Z71" s="97"/>
      <c r="AA71" s="125"/>
      <c r="AB71" s="97"/>
      <c r="AC71" s="97"/>
      <c r="AD71" s="97"/>
      <c r="AE71" s="97"/>
      <c r="AF71" s="97"/>
      <c r="AG71" s="97"/>
      <c r="AH71" s="97"/>
      <c r="AI71" s="97"/>
      <c r="AJ71" s="97"/>
      <c r="AK71" s="97"/>
    </row>
    <row r="72" spans="1:37" s="96" customFormat="1" outlineLevel="2" x14ac:dyDescent="0.25">
      <c r="A72" s="31" t="s">
        <v>178</v>
      </c>
      <c r="B72" s="24" t="s">
        <v>111</v>
      </c>
      <c r="C72" s="111"/>
      <c r="D72" s="61">
        <v>6</v>
      </c>
      <c r="E72" s="61">
        <v>1</v>
      </c>
      <c r="F72" s="114"/>
      <c r="G72" s="61">
        <f t="shared" ref="G72" si="29">H72/24</f>
        <v>3</v>
      </c>
      <c r="H72" s="32">
        <v>72</v>
      </c>
      <c r="I72" s="27">
        <v>24</v>
      </c>
      <c r="J72" s="24">
        <v>24</v>
      </c>
      <c r="K72" s="27"/>
      <c r="L72" s="27"/>
      <c r="M72" s="27"/>
      <c r="N72" s="27">
        <v>24</v>
      </c>
      <c r="O72" s="108"/>
      <c r="P72" s="108"/>
      <c r="Q72" s="25"/>
      <c r="R72" s="107"/>
      <c r="S72" s="107"/>
      <c r="T72" s="107"/>
      <c r="U72" s="107"/>
      <c r="V72" s="109">
        <v>72</v>
      </c>
      <c r="W72" s="115"/>
      <c r="X72" s="107"/>
      <c r="Y72" s="100"/>
      <c r="Z72" s="97"/>
      <c r="AA72" s="125"/>
      <c r="AB72" s="97"/>
      <c r="AC72" s="97"/>
      <c r="AD72" s="97"/>
      <c r="AE72" s="97"/>
      <c r="AF72" s="97"/>
      <c r="AG72" s="97"/>
      <c r="AH72" s="97"/>
      <c r="AI72" s="97"/>
      <c r="AJ72" s="97"/>
      <c r="AK72" s="97"/>
    </row>
    <row r="73" spans="1:37" s="96" customFormat="1" ht="26.4" outlineLevel="2" x14ac:dyDescent="0.25">
      <c r="A73" s="31" t="s">
        <v>179</v>
      </c>
      <c r="B73" s="21" t="s">
        <v>285</v>
      </c>
      <c r="C73" s="111"/>
      <c r="D73" s="61">
        <v>6</v>
      </c>
      <c r="E73" s="61">
        <v>1</v>
      </c>
      <c r="F73" s="114"/>
      <c r="G73" s="61">
        <f t="shared" si="17"/>
        <v>3</v>
      </c>
      <c r="H73" s="32">
        <v>72</v>
      </c>
      <c r="I73" s="109">
        <v>18</v>
      </c>
      <c r="J73" s="24">
        <f t="shared" ref="J73:J77" si="30">$H73-$I73-$N73</f>
        <v>30</v>
      </c>
      <c r="K73" s="109"/>
      <c r="L73" s="109"/>
      <c r="M73" s="109"/>
      <c r="N73" s="109">
        <v>24</v>
      </c>
      <c r="O73" s="108"/>
      <c r="P73" s="108"/>
      <c r="Q73" s="25"/>
      <c r="R73" s="107"/>
      <c r="S73" s="107"/>
      <c r="T73" s="107"/>
      <c r="U73" s="107"/>
      <c r="V73" s="109"/>
      <c r="W73" s="115">
        <v>72</v>
      </c>
      <c r="X73" s="107"/>
      <c r="Y73" s="100"/>
      <c r="Z73" s="97"/>
      <c r="AA73" s="125"/>
      <c r="AB73" s="97"/>
      <c r="AC73" s="97"/>
      <c r="AD73" s="97"/>
      <c r="AE73" s="97"/>
      <c r="AF73" s="97"/>
      <c r="AG73" s="97"/>
      <c r="AH73" s="97"/>
      <c r="AI73" s="97"/>
      <c r="AJ73" s="97"/>
      <c r="AK73" s="97"/>
    </row>
    <row r="74" spans="1:37" s="96" customFormat="1" ht="26.4" outlineLevel="2" x14ac:dyDescent="0.25">
      <c r="A74" s="31" t="s">
        <v>180</v>
      </c>
      <c r="B74" s="21" t="s">
        <v>112</v>
      </c>
      <c r="C74" s="111">
        <v>7</v>
      </c>
      <c r="D74" s="61">
        <v>6</v>
      </c>
      <c r="E74" s="61">
        <v>1</v>
      </c>
      <c r="F74" s="114"/>
      <c r="G74" s="61">
        <v>4</v>
      </c>
      <c r="H74" s="32">
        <v>96</v>
      </c>
      <c r="I74" s="109">
        <v>18</v>
      </c>
      <c r="J74" s="24">
        <f t="shared" si="30"/>
        <v>30</v>
      </c>
      <c r="K74" s="109"/>
      <c r="L74" s="109"/>
      <c r="M74" s="109"/>
      <c r="N74" s="109">
        <v>48</v>
      </c>
      <c r="O74" s="108"/>
      <c r="P74" s="108"/>
      <c r="Q74" s="25"/>
      <c r="R74" s="107"/>
      <c r="S74" s="107"/>
      <c r="T74" s="107"/>
      <c r="U74" s="107"/>
      <c r="V74" s="109">
        <v>54</v>
      </c>
      <c r="W74" s="115">
        <v>42</v>
      </c>
      <c r="X74" s="107"/>
      <c r="Y74" s="196"/>
      <c r="Z74" s="97"/>
      <c r="AA74" s="125"/>
      <c r="AB74" s="97"/>
      <c r="AC74" s="97"/>
      <c r="AD74" s="97"/>
      <c r="AE74" s="97"/>
      <c r="AF74" s="97"/>
      <c r="AG74" s="97"/>
      <c r="AH74" s="97"/>
      <c r="AI74" s="97"/>
      <c r="AJ74" s="97"/>
      <c r="AK74" s="97"/>
    </row>
    <row r="75" spans="1:37" s="96" customFormat="1" outlineLevel="2" x14ac:dyDescent="0.25">
      <c r="A75" s="31" t="s">
        <v>181</v>
      </c>
      <c r="B75" s="117" t="s">
        <v>130</v>
      </c>
      <c r="C75" s="111"/>
      <c r="D75" s="61">
        <v>7</v>
      </c>
      <c r="E75" s="61">
        <v>1</v>
      </c>
      <c r="F75" s="114"/>
      <c r="G75" s="61">
        <v>2</v>
      </c>
      <c r="H75" s="32">
        <v>48</v>
      </c>
      <c r="I75" s="109">
        <v>12</v>
      </c>
      <c r="J75" s="24">
        <f t="shared" si="30"/>
        <v>36</v>
      </c>
      <c r="K75" s="109"/>
      <c r="L75" s="109"/>
      <c r="M75" s="109"/>
      <c r="N75" s="109"/>
      <c r="O75" s="108"/>
      <c r="P75" s="108"/>
      <c r="Q75" s="25"/>
      <c r="R75" s="107"/>
      <c r="S75" s="107"/>
      <c r="T75" s="107"/>
      <c r="U75" s="107"/>
      <c r="V75" s="96">
        <v>24</v>
      </c>
      <c r="W75" s="115">
        <v>24</v>
      </c>
      <c r="X75" s="107"/>
      <c r="Y75" s="196"/>
      <c r="Z75" s="97"/>
      <c r="AA75" s="125"/>
      <c r="AB75" s="97"/>
      <c r="AC75" s="97"/>
      <c r="AD75" s="97"/>
      <c r="AE75" s="97"/>
      <c r="AF75" s="97"/>
      <c r="AG75" s="97"/>
      <c r="AH75" s="97"/>
      <c r="AI75" s="97"/>
      <c r="AJ75" s="97"/>
      <c r="AK75" s="97"/>
    </row>
    <row r="76" spans="1:37" s="96" customFormat="1" outlineLevel="2" x14ac:dyDescent="0.25">
      <c r="A76" s="31" t="s">
        <v>182</v>
      </c>
      <c r="B76" s="117" t="s">
        <v>131</v>
      </c>
      <c r="C76" s="111"/>
      <c r="D76" s="61">
        <v>7</v>
      </c>
      <c r="E76" s="61">
        <v>1</v>
      </c>
      <c r="F76" s="114"/>
      <c r="G76" s="61">
        <v>2</v>
      </c>
      <c r="H76" s="32">
        <v>48</v>
      </c>
      <c r="I76" s="109">
        <v>12</v>
      </c>
      <c r="J76" s="24">
        <f>$H76-$I76-$N76</f>
        <v>36</v>
      </c>
      <c r="K76" s="109"/>
      <c r="L76" s="109"/>
      <c r="M76" s="109"/>
      <c r="N76" s="109"/>
      <c r="O76" s="108"/>
      <c r="P76" s="108"/>
      <c r="Q76" s="25"/>
      <c r="R76" s="107"/>
      <c r="S76" s="107"/>
      <c r="T76" s="107"/>
      <c r="U76" s="107"/>
      <c r="V76" s="109"/>
      <c r="W76" s="65"/>
      <c r="X76" s="109">
        <v>48</v>
      </c>
      <c r="Y76" s="196"/>
      <c r="Z76" s="97"/>
      <c r="AA76" s="125"/>
      <c r="AB76" s="97"/>
      <c r="AC76" s="97"/>
      <c r="AD76" s="97"/>
      <c r="AE76" s="97"/>
      <c r="AF76" s="97"/>
      <c r="AG76" s="97"/>
      <c r="AH76" s="97"/>
      <c r="AI76" s="97"/>
      <c r="AJ76" s="97"/>
      <c r="AK76" s="97"/>
    </row>
    <row r="77" spans="1:37" s="96" customFormat="1" ht="39.6" outlineLevel="2" x14ac:dyDescent="0.25">
      <c r="A77" s="31" t="s">
        <v>188</v>
      </c>
      <c r="B77" s="172" t="s">
        <v>122</v>
      </c>
      <c r="C77" s="173"/>
      <c r="D77" s="174">
        <v>8</v>
      </c>
      <c r="E77" s="174">
        <v>1</v>
      </c>
      <c r="F77" s="174"/>
      <c r="G77" s="169">
        <f>H77/24</f>
        <v>2</v>
      </c>
      <c r="H77" s="175">
        <v>48</v>
      </c>
      <c r="I77" s="176">
        <v>12</v>
      </c>
      <c r="J77" s="35">
        <f t="shared" si="30"/>
        <v>36</v>
      </c>
      <c r="K77" s="176"/>
      <c r="L77" s="176"/>
      <c r="M77" s="176"/>
      <c r="N77" s="176"/>
      <c r="O77" s="177"/>
      <c r="P77" s="177"/>
      <c r="Q77" s="178"/>
      <c r="R77" s="179"/>
      <c r="S77" s="206"/>
      <c r="T77" s="206"/>
      <c r="U77" s="206"/>
      <c r="V77" s="92"/>
      <c r="W77" s="95">
        <v>48</v>
      </c>
      <c r="X77" s="174"/>
      <c r="Y77" s="196"/>
      <c r="Z77" s="190"/>
      <c r="AA77" s="125"/>
      <c r="AB77" s="97"/>
      <c r="AC77" s="97"/>
      <c r="AD77" s="97"/>
      <c r="AE77" s="97"/>
      <c r="AF77" s="97"/>
      <c r="AG77" s="97"/>
      <c r="AH77" s="97"/>
      <c r="AI77" s="97"/>
      <c r="AJ77" s="97"/>
      <c r="AK77" s="97"/>
    </row>
    <row r="78" spans="1:37" s="96" customFormat="1" ht="39.6" outlineLevel="2" x14ac:dyDescent="0.25">
      <c r="A78" s="31" t="s">
        <v>189</v>
      </c>
      <c r="B78" s="180" t="s">
        <v>187</v>
      </c>
      <c r="C78" s="181"/>
      <c r="D78" s="182">
        <v>8</v>
      </c>
      <c r="E78" s="182"/>
      <c r="F78" s="182"/>
      <c r="G78" s="169">
        <f t="shared" ref="G78" si="31">H78/24</f>
        <v>9</v>
      </c>
      <c r="H78" s="175">
        <v>216</v>
      </c>
      <c r="I78" s="183"/>
      <c r="J78" s="183"/>
      <c r="K78" s="183"/>
      <c r="L78" s="183"/>
      <c r="M78" s="183"/>
      <c r="N78" s="183"/>
      <c r="O78" s="184">
        <v>216</v>
      </c>
      <c r="P78" s="184"/>
      <c r="Q78" s="185"/>
      <c r="R78" s="186"/>
      <c r="S78" s="206"/>
      <c r="T78" s="206"/>
      <c r="U78" s="207"/>
      <c r="V78" s="98"/>
      <c r="W78" s="99"/>
      <c r="X78" s="182">
        <v>216</v>
      </c>
      <c r="Y78" s="196"/>
      <c r="Z78" s="97"/>
      <c r="AA78" s="125"/>
      <c r="AB78" s="97"/>
      <c r="AC78" s="97"/>
      <c r="AD78" s="97"/>
      <c r="AE78" s="97"/>
      <c r="AF78" s="97"/>
      <c r="AG78" s="97"/>
      <c r="AH78" s="97"/>
      <c r="AI78" s="97"/>
      <c r="AJ78" s="97"/>
      <c r="AK78" s="97"/>
    </row>
    <row r="79" spans="1:37" s="70" customFormat="1" ht="79.5" customHeight="1" x14ac:dyDescent="0.25">
      <c r="A79" s="68" t="s">
        <v>156</v>
      </c>
      <c r="B79" s="75" t="s">
        <v>59</v>
      </c>
      <c r="C79" s="76">
        <v>0</v>
      </c>
      <c r="D79" s="69">
        <v>4</v>
      </c>
      <c r="E79" s="69">
        <v>2</v>
      </c>
      <c r="F79" s="77">
        <v>0</v>
      </c>
      <c r="G79" s="89">
        <f>SUM(G81:G84)</f>
        <v>6</v>
      </c>
      <c r="H79" s="139">
        <f t="shared" ref="H79:X79" si="32">SUM(H81:H84)</f>
        <v>144</v>
      </c>
      <c r="I79" s="89">
        <f>SUM(I81:I84)</f>
        <v>144</v>
      </c>
      <c r="J79" s="89">
        <f t="shared" si="32"/>
        <v>0</v>
      </c>
      <c r="K79" s="89">
        <f t="shared" si="32"/>
        <v>0</v>
      </c>
      <c r="L79" s="89"/>
      <c r="M79" s="89"/>
      <c r="N79" s="89">
        <f t="shared" si="32"/>
        <v>0</v>
      </c>
      <c r="O79" s="89">
        <f t="shared" si="32"/>
        <v>0</v>
      </c>
      <c r="P79" s="89"/>
      <c r="Q79" s="89">
        <f t="shared" si="32"/>
        <v>0</v>
      </c>
      <c r="R79" s="89">
        <f t="shared" si="32"/>
        <v>0</v>
      </c>
      <c r="S79" s="89">
        <f t="shared" si="32"/>
        <v>0</v>
      </c>
      <c r="T79" s="89">
        <f t="shared" si="32"/>
        <v>0</v>
      </c>
      <c r="U79" s="89">
        <f t="shared" si="32"/>
        <v>0</v>
      </c>
      <c r="V79" s="89">
        <f t="shared" si="32"/>
        <v>144</v>
      </c>
      <c r="W79" s="89">
        <f t="shared" si="32"/>
        <v>0</v>
      </c>
      <c r="X79" s="89">
        <f t="shared" si="32"/>
        <v>0</v>
      </c>
      <c r="Y79" s="195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</row>
    <row r="80" spans="1:37" s="56" customFormat="1" ht="37.5" customHeight="1" x14ac:dyDescent="0.25">
      <c r="A80" s="135"/>
      <c r="B80" s="359" t="s">
        <v>148</v>
      </c>
      <c r="C80" s="360"/>
      <c r="D80" s="360"/>
      <c r="E80" s="360"/>
      <c r="F80" s="360"/>
      <c r="G80" s="360"/>
      <c r="H80" s="360"/>
      <c r="I80" s="360"/>
      <c r="J80" s="360"/>
      <c r="K80" s="360"/>
      <c r="L80" s="360"/>
      <c r="M80" s="360"/>
      <c r="N80" s="360"/>
      <c r="O80" s="360"/>
      <c r="P80" s="360"/>
      <c r="Q80" s="360"/>
      <c r="R80" s="360"/>
      <c r="S80" s="360"/>
      <c r="T80" s="360"/>
      <c r="U80" s="360"/>
      <c r="V80" s="360"/>
      <c r="W80" s="360"/>
      <c r="X80" s="361"/>
      <c r="Y80" s="100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</row>
    <row r="81" spans="1:37" s="96" customFormat="1" x14ac:dyDescent="0.25">
      <c r="A81" s="21" t="s">
        <v>183</v>
      </c>
      <c r="B81" s="106" t="s">
        <v>55</v>
      </c>
      <c r="C81" s="113"/>
      <c r="D81" s="24">
        <v>6</v>
      </c>
      <c r="E81" s="24">
        <v>1</v>
      </c>
      <c r="F81" s="118"/>
      <c r="G81" s="61">
        <f t="shared" ref="G81:G85" si="33">H81/24</f>
        <v>1.5</v>
      </c>
      <c r="H81" s="140">
        <v>36</v>
      </c>
      <c r="I81" s="119">
        <v>36</v>
      </c>
      <c r="J81" s="120"/>
      <c r="K81" s="120"/>
      <c r="L81" s="120"/>
      <c r="M81" s="120"/>
      <c r="N81" s="120"/>
      <c r="O81" s="121"/>
      <c r="P81" s="121"/>
      <c r="Q81" s="25"/>
      <c r="R81" s="122"/>
      <c r="S81" s="122"/>
      <c r="T81" s="122"/>
      <c r="U81" s="122"/>
      <c r="V81" s="61">
        <v>36</v>
      </c>
      <c r="W81" s="119"/>
      <c r="X81" s="24"/>
      <c r="Y81" s="196"/>
      <c r="Z81" s="97"/>
      <c r="AA81" s="125"/>
      <c r="AB81" s="97"/>
      <c r="AC81" s="97"/>
      <c r="AD81" s="97"/>
      <c r="AE81" s="97"/>
      <c r="AF81" s="97"/>
      <c r="AG81" s="97"/>
      <c r="AH81" s="97"/>
      <c r="AI81" s="97"/>
      <c r="AJ81" s="97"/>
      <c r="AK81" s="97"/>
    </row>
    <row r="82" spans="1:37" s="96" customFormat="1" x14ac:dyDescent="0.25">
      <c r="A82" s="21" t="s">
        <v>184</v>
      </c>
      <c r="B82" s="106" t="s">
        <v>56</v>
      </c>
      <c r="C82" s="113"/>
      <c r="D82" s="24">
        <v>6</v>
      </c>
      <c r="E82" s="24">
        <v>1</v>
      </c>
      <c r="F82" s="118"/>
      <c r="G82" s="61">
        <f t="shared" si="33"/>
        <v>1.5</v>
      </c>
      <c r="H82" s="140">
        <v>36</v>
      </c>
      <c r="I82" s="119">
        <v>36</v>
      </c>
      <c r="J82" s="120"/>
      <c r="K82" s="120"/>
      <c r="L82" s="120"/>
      <c r="M82" s="120"/>
      <c r="N82" s="120"/>
      <c r="O82" s="121"/>
      <c r="P82" s="121"/>
      <c r="Q82" s="123"/>
      <c r="R82" s="122"/>
      <c r="S82" s="122"/>
      <c r="T82" s="122"/>
      <c r="U82" s="122"/>
      <c r="V82" s="61">
        <v>36</v>
      </c>
      <c r="W82" s="119"/>
      <c r="X82" s="24"/>
      <c r="Y82" s="196"/>
      <c r="Z82" s="97"/>
      <c r="AA82" s="125"/>
      <c r="AB82" s="97"/>
      <c r="AC82" s="97"/>
      <c r="AD82" s="97"/>
      <c r="AE82" s="97"/>
      <c r="AF82" s="97"/>
      <c r="AG82" s="97"/>
      <c r="AH82" s="97"/>
      <c r="AI82" s="97"/>
      <c r="AJ82" s="97"/>
      <c r="AK82" s="97"/>
    </row>
    <row r="83" spans="1:37" s="96" customFormat="1" ht="24.75" customHeight="1" x14ac:dyDescent="0.25">
      <c r="A83" s="21" t="s">
        <v>185</v>
      </c>
      <c r="B83" s="106" t="s">
        <v>57</v>
      </c>
      <c r="C83" s="113"/>
      <c r="D83" s="24">
        <v>6</v>
      </c>
      <c r="E83" s="24"/>
      <c r="F83" s="118"/>
      <c r="G83" s="61">
        <f t="shared" si="33"/>
        <v>1.5</v>
      </c>
      <c r="H83" s="140">
        <v>36</v>
      </c>
      <c r="I83" s="119">
        <v>36</v>
      </c>
      <c r="J83" s="120"/>
      <c r="K83" s="120"/>
      <c r="L83" s="120"/>
      <c r="M83" s="120"/>
      <c r="N83" s="120"/>
      <c r="O83" s="121"/>
      <c r="P83" s="121"/>
      <c r="Q83" s="123"/>
      <c r="R83" s="122"/>
      <c r="S83" s="122"/>
      <c r="T83" s="122"/>
      <c r="U83" s="122"/>
      <c r="V83" s="61">
        <v>36</v>
      </c>
      <c r="W83" s="119"/>
      <c r="X83" s="24"/>
      <c r="Y83" s="196"/>
      <c r="Z83" s="97"/>
      <c r="AA83" s="125"/>
      <c r="AB83" s="97"/>
      <c r="AC83" s="97"/>
      <c r="AD83" s="97"/>
      <c r="AE83" s="97"/>
      <c r="AF83" s="97"/>
      <c r="AG83" s="97"/>
      <c r="AH83" s="97"/>
      <c r="AI83" s="97"/>
      <c r="AJ83" s="97"/>
      <c r="AK83" s="97"/>
    </row>
    <row r="84" spans="1:37" s="96" customFormat="1" x14ac:dyDescent="0.25">
      <c r="A84" s="21" t="s">
        <v>186</v>
      </c>
      <c r="B84" s="106" t="s">
        <v>58</v>
      </c>
      <c r="C84" s="113"/>
      <c r="D84" s="24">
        <v>6</v>
      </c>
      <c r="E84" s="24"/>
      <c r="F84" s="118"/>
      <c r="G84" s="61">
        <f t="shared" si="33"/>
        <v>1.5</v>
      </c>
      <c r="H84" s="140">
        <v>36</v>
      </c>
      <c r="I84" s="119">
        <v>36</v>
      </c>
      <c r="J84" s="120"/>
      <c r="K84" s="120"/>
      <c r="L84" s="120"/>
      <c r="M84" s="120"/>
      <c r="N84" s="120"/>
      <c r="O84" s="121"/>
      <c r="P84" s="121"/>
      <c r="Q84" s="123"/>
      <c r="R84" s="122"/>
      <c r="S84" s="122"/>
      <c r="T84" s="122"/>
      <c r="U84" s="122"/>
      <c r="V84" s="61">
        <v>36</v>
      </c>
      <c r="W84" s="119"/>
      <c r="X84" s="24"/>
      <c r="Y84" s="196"/>
      <c r="Z84" s="97"/>
      <c r="AA84" s="125"/>
      <c r="AB84" s="97"/>
      <c r="AC84" s="97"/>
      <c r="AD84" s="97"/>
      <c r="AE84" s="97"/>
      <c r="AF84" s="97"/>
      <c r="AG84" s="97"/>
      <c r="AH84" s="97"/>
      <c r="AI84" s="97"/>
      <c r="AJ84" s="97"/>
      <c r="AK84" s="97"/>
    </row>
    <row r="85" spans="1:37" s="96" customFormat="1" x14ac:dyDescent="0.25">
      <c r="A85" s="32" t="s">
        <v>241</v>
      </c>
      <c r="B85" s="148" t="s">
        <v>27</v>
      </c>
      <c r="C85" s="113"/>
      <c r="D85" s="24"/>
      <c r="E85" s="24"/>
      <c r="F85" s="118"/>
      <c r="G85" s="61">
        <f t="shared" si="33"/>
        <v>3</v>
      </c>
      <c r="H85" s="140">
        <v>72</v>
      </c>
      <c r="I85" s="119">
        <v>72</v>
      </c>
      <c r="J85" s="120"/>
      <c r="K85" s="120"/>
      <c r="L85" s="120"/>
      <c r="M85" s="120"/>
      <c r="N85" s="120"/>
      <c r="O85" s="121"/>
      <c r="P85" s="121"/>
      <c r="Q85" s="123"/>
      <c r="R85" s="122"/>
      <c r="S85" s="122"/>
      <c r="T85" s="122"/>
      <c r="U85" s="208">
        <v>36</v>
      </c>
      <c r="V85" s="61">
        <v>36</v>
      </c>
      <c r="W85" s="119"/>
      <c r="X85" s="24"/>
      <c r="Y85" s="196"/>
      <c r="Z85" s="97"/>
      <c r="AA85" s="125"/>
      <c r="AB85" s="97"/>
      <c r="AC85" s="97"/>
      <c r="AD85" s="97"/>
      <c r="AE85" s="97"/>
      <c r="AF85" s="97"/>
      <c r="AG85" s="97"/>
      <c r="AH85" s="97"/>
      <c r="AI85" s="97"/>
      <c r="AJ85" s="97"/>
      <c r="AK85" s="97"/>
    </row>
    <row r="86" spans="1:37" s="80" customFormat="1" x14ac:dyDescent="0.25">
      <c r="A86" s="211"/>
      <c r="B86" s="211" t="s">
        <v>136</v>
      </c>
      <c r="C86" s="215">
        <f>SUM(C59+C65+C70+C79)</f>
        <v>2</v>
      </c>
      <c r="D86" s="215">
        <f t="shared" ref="D86:T86" si="34">SUM(D59+D65+D70+D79)</f>
        <v>18</v>
      </c>
      <c r="E86" s="215">
        <f t="shared" si="34"/>
        <v>15</v>
      </c>
      <c r="F86" s="215">
        <f t="shared" si="34"/>
        <v>0</v>
      </c>
      <c r="G86" s="215">
        <f>SUM(G59+G65+G70+G79+G85)</f>
        <v>59.5</v>
      </c>
      <c r="H86" s="215">
        <v>1440</v>
      </c>
      <c r="I86" s="215">
        <f t="shared" si="34"/>
        <v>364</v>
      </c>
      <c r="J86" s="215">
        <f t="shared" si="34"/>
        <v>380</v>
      </c>
      <c r="K86" s="215">
        <f t="shared" si="34"/>
        <v>0</v>
      </c>
      <c r="L86" s="215"/>
      <c r="M86" s="215"/>
      <c r="N86" s="215">
        <f t="shared" si="34"/>
        <v>396</v>
      </c>
      <c r="O86" s="215">
        <f t="shared" si="34"/>
        <v>216</v>
      </c>
      <c r="P86" s="215"/>
      <c r="Q86" s="215">
        <f t="shared" si="34"/>
        <v>0</v>
      </c>
      <c r="R86" s="215">
        <f t="shared" si="34"/>
        <v>0</v>
      </c>
      <c r="S86" s="215">
        <f t="shared" si="34"/>
        <v>0</v>
      </c>
      <c r="T86" s="215">
        <f t="shared" si="34"/>
        <v>0</v>
      </c>
      <c r="U86" s="211">
        <f>SUM(U58+U59+U65+U70+U79+U85)</f>
        <v>828</v>
      </c>
      <c r="V86" s="211">
        <f>SUM(V58+V59+V65+V70+V79+V85)</f>
        <v>612</v>
      </c>
      <c r="W86" s="216">
        <f t="shared" ref="W86:X86" si="35">SUM(W58+W59+W65+W70+W79+W85)</f>
        <v>228</v>
      </c>
      <c r="X86" s="216">
        <f t="shared" si="35"/>
        <v>324</v>
      </c>
      <c r="Y86" s="195"/>
      <c r="Z86" s="74"/>
      <c r="AA86" s="198"/>
      <c r="AB86" s="81"/>
      <c r="AC86" s="81"/>
      <c r="AD86" s="81"/>
      <c r="AE86" s="81"/>
      <c r="AF86" s="81"/>
      <c r="AG86" s="81"/>
      <c r="AH86" s="81"/>
      <c r="AI86" s="81"/>
      <c r="AJ86" s="81"/>
      <c r="AK86" s="81"/>
    </row>
    <row r="87" spans="1:37" s="91" customFormat="1" ht="39" customHeight="1" x14ac:dyDescent="0.25">
      <c r="A87" s="54" t="s">
        <v>190</v>
      </c>
      <c r="B87" s="62" t="s">
        <v>113</v>
      </c>
      <c r="C87" s="59">
        <f>COUNT(C89:C93)</f>
        <v>1</v>
      </c>
      <c r="D87" s="59">
        <f t="shared" ref="D87:F87" si="36">COUNT(D89:D93)</f>
        <v>5</v>
      </c>
      <c r="E87" s="59">
        <f t="shared" si="36"/>
        <v>5</v>
      </c>
      <c r="F87" s="59">
        <f t="shared" si="36"/>
        <v>0</v>
      </c>
      <c r="G87" s="60">
        <f t="shared" ref="G87" si="37">SUM(G89:G93)</f>
        <v>9</v>
      </c>
      <c r="H87" s="60">
        <f>SUM(H89:H93)</f>
        <v>216</v>
      </c>
      <c r="I87" s="60">
        <f>SUM(I89:I93)</f>
        <v>56</v>
      </c>
      <c r="J87" s="60">
        <f>SUM(J89:J93)</f>
        <v>112</v>
      </c>
      <c r="K87" s="60">
        <f t="shared" ref="K87:X87" si="38">SUM(K89:K93)</f>
        <v>0</v>
      </c>
      <c r="L87" s="60"/>
      <c r="M87" s="60"/>
      <c r="N87" s="60">
        <f t="shared" si="38"/>
        <v>48</v>
      </c>
      <c r="O87" s="60">
        <f t="shared" si="38"/>
        <v>0</v>
      </c>
      <c r="P87" s="60"/>
      <c r="Q87" s="60">
        <f t="shared" si="38"/>
        <v>0</v>
      </c>
      <c r="R87" s="60">
        <f t="shared" si="38"/>
        <v>0</v>
      </c>
      <c r="S87" s="83">
        <f t="shared" si="38"/>
        <v>0</v>
      </c>
      <c r="T87" s="83">
        <f t="shared" si="38"/>
        <v>0</v>
      </c>
      <c r="U87" s="60">
        <f t="shared" si="38"/>
        <v>0</v>
      </c>
      <c r="V87" s="60">
        <f t="shared" si="38"/>
        <v>0</v>
      </c>
      <c r="W87" s="60">
        <f t="shared" si="38"/>
        <v>108</v>
      </c>
      <c r="X87" s="60">
        <f t="shared" si="38"/>
        <v>108</v>
      </c>
      <c r="Y87" s="194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</row>
    <row r="88" spans="1:37" s="56" customFormat="1" ht="39" customHeight="1" x14ac:dyDescent="0.25">
      <c r="A88" s="149"/>
      <c r="B88" s="359" t="s">
        <v>150</v>
      </c>
      <c r="C88" s="360"/>
      <c r="D88" s="360"/>
      <c r="E88" s="360"/>
      <c r="F88" s="360"/>
      <c r="G88" s="360"/>
      <c r="H88" s="360"/>
      <c r="I88" s="360"/>
      <c r="J88" s="360"/>
      <c r="K88" s="360"/>
      <c r="L88" s="360"/>
      <c r="M88" s="360"/>
      <c r="N88" s="360"/>
      <c r="O88" s="360"/>
      <c r="P88" s="360"/>
      <c r="Q88" s="360"/>
      <c r="R88" s="360"/>
      <c r="S88" s="360"/>
      <c r="T88" s="360"/>
      <c r="U88" s="360"/>
      <c r="V88" s="360"/>
      <c r="W88" s="360"/>
      <c r="X88" s="361"/>
      <c r="Y88" s="100"/>
      <c r="Z88" s="125"/>
      <c r="AA88" s="125"/>
      <c r="AB88" s="125"/>
      <c r="AC88" s="125"/>
      <c r="AD88" s="125"/>
      <c r="AE88" s="125"/>
      <c r="AF88" s="125"/>
      <c r="AG88" s="125"/>
      <c r="AH88" s="125"/>
      <c r="AI88" s="125"/>
      <c r="AJ88" s="125"/>
      <c r="AK88" s="125"/>
    </row>
    <row r="89" spans="1:37" s="56" customFormat="1" ht="24" customHeight="1" x14ac:dyDescent="0.25">
      <c r="A89" s="33" t="s">
        <v>191</v>
      </c>
      <c r="B89" s="6" t="s">
        <v>286</v>
      </c>
      <c r="C89" s="34"/>
      <c r="D89" s="35">
        <v>7</v>
      </c>
      <c r="E89" s="35">
        <v>1</v>
      </c>
      <c r="F89" s="35"/>
      <c r="G89" s="61">
        <f t="shared" ref="G89:G99" si="39">H89/24</f>
        <v>1.5</v>
      </c>
      <c r="H89" s="138">
        <v>36</v>
      </c>
      <c r="I89" s="36">
        <v>16</v>
      </c>
      <c r="J89" s="24">
        <f t="shared" ref="J89:J99" si="40">$H89-$I89-$N89</f>
        <v>20</v>
      </c>
      <c r="K89" s="36"/>
      <c r="L89" s="36"/>
      <c r="M89" s="36"/>
      <c r="N89" s="27"/>
      <c r="O89" s="37"/>
      <c r="P89" s="37"/>
      <c r="Q89" s="25"/>
      <c r="R89" s="38"/>
      <c r="S89" s="26"/>
      <c r="T89" s="26"/>
      <c r="U89" s="26"/>
      <c r="V89" s="24"/>
      <c r="W89" s="65">
        <v>36</v>
      </c>
      <c r="X89" s="32"/>
      <c r="Y89" s="196"/>
      <c r="Z89" s="125"/>
      <c r="AA89" s="125"/>
      <c r="AB89" s="125"/>
      <c r="AC89" s="125"/>
      <c r="AD89" s="125"/>
      <c r="AE89" s="125"/>
      <c r="AF89" s="125"/>
      <c r="AG89" s="125"/>
      <c r="AH89" s="125"/>
      <c r="AI89" s="125"/>
      <c r="AJ89" s="125"/>
      <c r="AK89" s="125"/>
    </row>
    <row r="90" spans="1:37" x14ac:dyDescent="0.25">
      <c r="A90" s="22" t="s">
        <v>192</v>
      </c>
      <c r="B90" s="28" t="s">
        <v>114</v>
      </c>
      <c r="C90" s="34">
        <v>7</v>
      </c>
      <c r="D90" s="35">
        <v>7</v>
      </c>
      <c r="E90" s="35">
        <v>1</v>
      </c>
      <c r="F90" s="35"/>
      <c r="G90" s="61">
        <f t="shared" si="39"/>
        <v>2</v>
      </c>
      <c r="H90" s="141">
        <v>48</v>
      </c>
      <c r="I90" s="66">
        <v>10</v>
      </c>
      <c r="J90" s="24">
        <f t="shared" si="40"/>
        <v>14</v>
      </c>
      <c r="K90" s="66"/>
      <c r="L90" s="66"/>
      <c r="M90" s="66"/>
      <c r="N90" s="27">
        <v>24</v>
      </c>
      <c r="O90" s="37"/>
      <c r="P90" s="37"/>
      <c r="Q90" s="10"/>
      <c r="R90" s="38"/>
      <c r="S90" s="26"/>
      <c r="T90" s="26"/>
      <c r="U90" s="26"/>
      <c r="V90" s="24"/>
      <c r="W90" s="24">
        <v>48</v>
      </c>
      <c r="X90" s="24"/>
      <c r="Y90" s="196"/>
      <c r="Z90" s="13"/>
      <c r="AA90" s="155"/>
      <c r="AB90" s="13"/>
      <c r="AC90" s="13"/>
      <c r="AD90" s="13"/>
      <c r="AE90" s="13"/>
      <c r="AF90" s="13"/>
      <c r="AG90" s="13"/>
      <c r="AH90" s="13"/>
      <c r="AI90" s="13"/>
      <c r="AJ90" s="13"/>
      <c r="AK90" s="13"/>
    </row>
    <row r="91" spans="1:37" x14ac:dyDescent="0.25">
      <c r="A91" s="22" t="s">
        <v>193</v>
      </c>
      <c r="B91" s="28" t="s">
        <v>66</v>
      </c>
      <c r="C91" s="34"/>
      <c r="D91" s="35">
        <v>8</v>
      </c>
      <c r="E91" s="35">
        <v>1</v>
      </c>
      <c r="F91" s="35"/>
      <c r="G91" s="61">
        <f t="shared" si="39"/>
        <v>2.5</v>
      </c>
      <c r="H91" s="141">
        <v>60</v>
      </c>
      <c r="I91" s="66">
        <v>18</v>
      </c>
      <c r="J91" s="24">
        <f t="shared" si="40"/>
        <v>18</v>
      </c>
      <c r="K91" s="66"/>
      <c r="L91" s="66"/>
      <c r="M91" s="66"/>
      <c r="N91" s="27">
        <v>24</v>
      </c>
      <c r="O91" s="37"/>
      <c r="P91" s="37"/>
      <c r="Q91" s="25"/>
      <c r="R91" s="38"/>
      <c r="S91" s="26"/>
      <c r="T91" s="26"/>
      <c r="U91" s="26"/>
      <c r="V91" s="24"/>
      <c r="W91" s="65">
        <v>24</v>
      </c>
      <c r="X91" s="24">
        <v>36</v>
      </c>
      <c r="Y91" s="196"/>
      <c r="Z91" s="13"/>
      <c r="AA91" s="155"/>
      <c r="AB91" s="13"/>
      <c r="AC91" s="13"/>
      <c r="AD91" s="13"/>
      <c r="AE91" s="13"/>
      <c r="AF91" s="13"/>
      <c r="AG91" s="13"/>
      <c r="AH91" s="13"/>
      <c r="AI91" s="13"/>
      <c r="AJ91" s="13"/>
      <c r="AK91" s="13"/>
    </row>
    <row r="92" spans="1:37" ht="26.25" customHeight="1" x14ac:dyDescent="0.25">
      <c r="A92" s="22" t="s">
        <v>194</v>
      </c>
      <c r="B92" s="28" t="s">
        <v>115</v>
      </c>
      <c r="C92" s="34"/>
      <c r="D92" s="35">
        <v>8</v>
      </c>
      <c r="E92" s="35">
        <v>1</v>
      </c>
      <c r="F92" s="35"/>
      <c r="G92" s="61">
        <f t="shared" si="39"/>
        <v>1.5</v>
      </c>
      <c r="H92" s="141">
        <v>36</v>
      </c>
      <c r="I92" s="36">
        <v>6</v>
      </c>
      <c r="J92" s="24">
        <f t="shared" si="40"/>
        <v>30</v>
      </c>
      <c r="K92" s="36"/>
      <c r="L92" s="36"/>
      <c r="M92" s="36"/>
      <c r="N92" s="27"/>
      <c r="O92" s="37"/>
      <c r="P92" s="37"/>
      <c r="Q92" s="25"/>
      <c r="R92" s="38"/>
      <c r="S92" s="26"/>
      <c r="T92" s="26"/>
      <c r="U92" s="26"/>
      <c r="V92" s="24"/>
      <c r="W92" s="65"/>
      <c r="X92" s="24">
        <v>36</v>
      </c>
      <c r="Y92" s="196"/>
      <c r="Z92" s="13"/>
      <c r="AA92" s="155"/>
      <c r="AB92" s="13"/>
      <c r="AC92" s="13"/>
      <c r="AD92" s="13"/>
      <c r="AE92" s="13"/>
      <c r="AF92" s="13"/>
      <c r="AG92" s="13"/>
      <c r="AH92" s="13"/>
      <c r="AI92" s="13"/>
      <c r="AJ92" s="13"/>
      <c r="AK92" s="13"/>
    </row>
    <row r="93" spans="1:37" ht="26.4" x14ac:dyDescent="0.25">
      <c r="A93" s="22" t="s">
        <v>195</v>
      </c>
      <c r="B93" s="28" t="s">
        <v>116</v>
      </c>
      <c r="C93" s="34"/>
      <c r="D93" s="35">
        <v>8</v>
      </c>
      <c r="E93" s="35">
        <v>1</v>
      </c>
      <c r="F93" s="35"/>
      <c r="G93" s="61">
        <f t="shared" si="39"/>
        <v>1.5</v>
      </c>
      <c r="H93" s="141">
        <v>36</v>
      </c>
      <c r="I93" s="36">
        <v>6</v>
      </c>
      <c r="J93" s="24">
        <f t="shared" si="40"/>
        <v>30</v>
      </c>
      <c r="K93" s="36"/>
      <c r="L93" s="36"/>
      <c r="M93" s="36"/>
      <c r="N93" s="27"/>
      <c r="O93" s="37"/>
      <c r="P93" s="37"/>
      <c r="Q93" s="25"/>
      <c r="R93" s="38"/>
      <c r="S93" s="26"/>
      <c r="T93" s="26"/>
      <c r="U93" s="26"/>
      <c r="V93" s="24"/>
      <c r="W93" s="65"/>
      <c r="X93" s="24">
        <v>36</v>
      </c>
      <c r="Y93" s="196"/>
      <c r="Z93" s="13"/>
      <c r="AA93" s="155"/>
      <c r="AB93" s="13"/>
      <c r="AC93" s="13"/>
      <c r="AD93" s="13"/>
      <c r="AE93" s="13"/>
      <c r="AF93" s="13"/>
      <c r="AG93" s="13"/>
      <c r="AH93" s="13"/>
      <c r="AI93" s="13"/>
      <c r="AJ93" s="13"/>
      <c r="AK93" s="13"/>
    </row>
    <row r="94" spans="1:37" s="52" customFormat="1" ht="29.25" customHeight="1" x14ac:dyDescent="0.25">
      <c r="A94" s="54" t="s">
        <v>196</v>
      </c>
      <c r="B94" s="62" t="s">
        <v>117</v>
      </c>
      <c r="C94" s="55">
        <f>COUNT(C96:C99)</f>
        <v>1</v>
      </c>
      <c r="D94" s="55">
        <f t="shared" ref="D94:F94" si="41">COUNT(D96:D99)</f>
        <v>4</v>
      </c>
      <c r="E94" s="55">
        <f t="shared" si="41"/>
        <v>4</v>
      </c>
      <c r="F94" s="55">
        <f t="shared" si="41"/>
        <v>0</v>
      </c>
      <c r="G94" s="60">
        <f>SUM(G96:G100)</f>
        <v>16</v>
      </c>
      <c r="H94" s="60">
        <f>SUM(H96:H100)</f>
        <v>384</v>
      </c>
      <c r="I94" s="60">
        <f t="shared" ref="I94:O94" si="42">SUM(I96:I100)</f>
        <v>54</v>
      </c>
      <c r="J94" s="60">
        <f t="shared" si="42"/>
        <v>150</v>
      </c>
      <c r="K94" s="60">
        <f t="shared" si="42"/>
        <v>0</v>
      </c>
      <c r="L94" s="60"/>
      <c r="M94" s="60"/>
      <c r="N94" s="60">
        <f t="shared" si="42"/>
        <v>36</v>
      </c>
      <c r="O94" s="60">
        <f t="shared" si="42"/>
        <v>144</v>
      </c>
      <c r="P94" s="60"/>
      <c r="Q94" s="60">
        <f>SUM(Q96:Q100)</f>
        <v>0</v>
      </c>
      <c r="R94" s="60">
        <f t="shared" ref="R94:X94" si="43">SUM(R96:R100)</f>
        <v>0</v>
      </c>
      <c r="S94" s="83">
        <f t="shared" si="43"/>
        <v>0</v>
      </c>
      <c r="T94" s="83">
        <f t="shared" si="43"/>
        <v>0</v>
      </c>
      <c r="U94" s="60">
        <f t="shared" si="43"/>
        <v>0</v>
      </c>
      <c r="V94" s="60">
        <f t="shared" si="43"/>
        <v>0</v>
      </c>
      <c r="W94" s="60">
        <f t="shared" si="43"/>
        <v>240</v>
      </c>
      <c r="X94" s="60">
        <f t="shared" si="43"/>
        <v>144</v>
      </c>
      <c r="Y94" s="194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</row>
    <row r="95" spans="1:37" s="143" customFormat="1" ht="35.25" customHeight="1" x14ac:dyDescent="0.25">
      <c r="A95" s="149"/>
      <c r="B95" s="359" t="s">
        <v>151</v>
      </c>
      <c r="C95" s="360"/>
      <c r="D95" s="360"/>
      <c r="E95" s="360"/>
      <c r="F95" s="360"/>
      <c r="G95" s="360"/>
      <c r="H95" s="360"/>
      <c r="I95" s="360"/>
      <c r="J95" s="360"/>
      <c r="K95" s="360"/>
      <c r="L95" s="360"/>
      <c r="M95" s="360"/>
      <c r="N95" s="360"/>
      <c r="O95" s="360"/>
      <c r="P95" s="360"/>
      <c r="Q95" s="360"/>
      <c r="R95" s="360"/>
      <c r="S95" s="360"/>
      <c r="T95" s="360"/>
      <c r="U95" s="360"/>
      <c r="V95" s="360"/>
      <c r="W95" s="360"/>
      <c r="X95" s="361"/>
      <c r="Y95" s="100"/>
      <c r="Z95" s="155"/>
      <c r="AA95" s="155"/>
      <c r="AB95" s="155"/>
      <c r="AC95" s="155"/>
      <c r="AD95" s="155"/>
      <c r="AE95" s="155"/>
      <c r="AF95" s="155"/>
      <c r="AG95" s="155"/>
      <c r="AH95" s="155"/>
      <c r="AI95" s="155"/>
      <c r="AJ95" s="155"/>
      <c r="AK95" s="155"/>
    </row>
    <row r="96" spans="1:37" ht="26.4" x14ac:dyDescent="0.25">
      <c r="A96" s="22" t="s">
        <v>197</v>
      </c>
      <c r="B96" s="28" t="s">
        <v>117</v>
      </c>
      <c r="C96" s="34">
        <v>7</v>
      </c>
      <c r="D96" s="35">
        <v>7</v>
      </c>
      <c r="E96" s="35">
        <v>1</v>
      </c>
      <c r="F96" s="35"/>
      <c r="G96" s="61">
        <f t="shared" si="39"/>
        <v>2.5</v>
      </c>
      <c r="H96" s="138">
        <v>60</v>
      </c>
      <c r="I96" s="36">
        <v>4</v>
      </c>
      <c r="J96" s="24">
        <f t="shared" si="40"/>
        <v>20</v>
      </c>
      <c r="K96" s="36"/>
      <c r="L96" s="36"/>
      <c r="M96" s="36"/>
      <c r="N96" s="27">
        <v>36</v>
      </c>
      <c r="O96" s="37"/>
      <c r="P96" s="37"/>
      <c r="Q96" s="10"/>
      <c r="R96" s="38"/>
      <c r="S96" s="26"/>
      <c r="T96" s="26"/>
      <c r="U96" s="26"/>
      <c r="V96" s="24"/>
      <c r="W96" s="24">
        <v>60</v>
      </c>
      <c r="X96" s="65"/>
      <c r="Y96" s="196"/>
      <c r="Z96" s="13"/>
      <c r="AA96" s="155"/>
      <c r="AB96" s="13"/>
      <c r="AC96" s="13"/>
      <c r="AD96" s="13"/>
      <c r="AE96" s="13"/>
      <c r="AF96" s="13"/>
      <c r="AG96" s="13"/>
      <c r="AH96" s="13"/>
      <c r="AI96" s="13"/>
      <c r="AJ96" s="13"/>
      <c r="AK96" s="13"/>
    </row>
    <row r="97" spans="1:37" ht="26.4" x14ac:dyDescent="0.25">
      <c r="A97" s="22" t="s">
        <v>198</v>
      </c>
      <c r="B97" s="28" t="s">
        <v>118</v>
      </c>
      <c r="C97" s="23"/>
      <c r="D97" s="24">
        <v>7</v>
      </c>
      <c r="E97" s="24">
        <v>1</v>
      </c>
      <c r="F97" s="24"/>
      <c r="G97" s="61">
        <f t="shared" si="39"/>
        <v>2</v>
      </c>
      <c r="H97" s="32">
        <v>48</v>
      </c>
      <c r="I97" s="27">
        <v>18</v>
      </c>
      <c r="J97" s="24">
        <f t="shared" si="40"/>
        <v>30</v>
      </c>
      <c r="K97" s="27"/>
      <c r="L97" s="27"/>
      <c r="M97" s="27"/>
      <c r="N97" s="27"/>
      <c r="O97" s="29"/>
      <c r="P97" s="29"/>
      <c r="Q97" s="10"/>
      <c r="R97" s="26"/>
      <c r="S97" s="26"/>
      <c r="T97" s="26"/>
      <c r="U97" s="26"/>
      <c r="V97" s="24"/>
      <c r="W97" s="65">
        <v>48</v>
      </c>
      <c r="X97" s="24"/>
      <c r="Y97" s="196"/>
      <c r="Z97" s="13"/>
      <c r="AA97" s="155"/>
      <c r="AB97" s="13"/>
      <c r="AC97" s="13"/>
      <c r="AD97" s="13"/>
      <c r="AE97" s="13"/>
      <c r="AF97" s="13"/>
      <c r="AG97" s="13"/>
      <c r="AH97" s="13"/>
      <c r="AI97" s="13"/>
      <c r="AJ97" s="13"/>
      <c r="AK97" s="13"/>
    </row>
    <row r="98" spans="1:37" ht="28.5" customHeight="1" x14ac:dyDescent="0.25">
      <c r="A98" s="22" t="s">
        <v>199</v>
      </c>
      <c r="B98" s="28" t="s">
        <v>119</v>
      </c>
      <c r="C98" s="23"/>
      <c r="D98" s="24">
        <v>7</v>
      </c>
      <c r="E98" s="24">
        <v>1</v>
      </c>
      <c r="F98" s="24"/>
      <c r="G98" s="61">
        <f t="shared" si="39"/>
        <v>2</v>
      </c>
      <c r="H98" s="32">
        <v>48</v>
      </c>
      <c r="I98" s="27">
        <v>18</v>
      </c>
      <c r="J98" s="24">
        <f t="shared" si="40"/>
        <v>30</v>
      </c>
      <c r="K98" s="27"/>
      <c r="L98" s="27"/>
      <c r="M98" s="27"/>
      <c r="N98" s="27"/>
      <c r="O98" s="29"/>
      <c r="P98" s="29"/>
      <c r="Q98" s="10"/>
      <c r="R98" s="26"/>
      <c r="S98" s="26"/>
      <c r="T98" s="26"/>
      <c r="U98" s="26"/>
      <c r="V98" s="24"/>
      <c r="W98" s="65">
        <v>48</v>
      </c>
      <c r="X98" s="65"/>
      <c r="Y98" s="196"/>
      <c r="Z98" s="13"/>
      <c r="AA98" s="155"/>
      <c r="AB98" s="13"/>
      <c r="AC98" s="13"/>
      <c r="AD98" s="13"/>
      <c r="AE98" s="13"/>
      <c r="AF98" s="13"/>
      <c r="AG98" s="13"/>
      <c r="AH98" s="13"/>
      <c r="AI98" s="13"/>
      <c r="AJ98" s="13"/>
      <c r="AK98" s="13"/>
    </row>
    <row r="99" spans="1:37" ht="28.5" customHeight="1" x14ac:dyDescent="0.25">
      <c r="A99" s="22" t="s">
        <v>200</v>
      </c>
      <c r="B99" s="28" t="s">
        <v>283</v>
      </c>
      <c r="C99" s="23"/>
      <c r="D99" s="35">
        <v>7</v>
      </c>
      <c r="E99" s="35">
        <v>1</v>
      </c>
      <c r="F99" s="35"/>
      <c r="G99" s="61">
        <f t="shared" si="39"/>
        <v>3.5</v>
      </c>
      <c r="H99" s="138">
        <v>84</v>
      </c>
      <c r="I99" s="36">
        <v>14</v>
      </c>
      <c r="J99" s="24">
        <f t="shared" si="40"/>
        <v>70</v>
      </c>
      <c r="K99" s="36"/>
      <c r="L99" s="36"/>
      <c r="M99" s="36"/>
      <c r="N99" s="27"/>
      <c r="O99" s="29"/>
      <c r="P99" s="29"/>
      <c r="Q99" s="10"/>
      <c r="R99" s="26"/>
      <c r="S99" s="26"/>
      <c r="T99" s="26"/>
      <c r="U99" s="26"/>
      <c r="V99" s="24"/>
      <c r="W99" s="65">
        <v>84</v>
      </c>
      <c r="X99" s="24"/>
      <c r="Y99" s="196"/>
      <c r="Z99" s="13"/>
      <c r="AA99" s="155"/>
      <c r="AB99" s="13"/>
      <c r="AC99" s="13"/>
      <c r="AD99" s="13"/>
      <c r="AE99" s="13"/>
      <c r="AF99" s="13"/>
      <c r="AG99" s="13"/>
      <c r="AH99" s="13"/>
      <c r="AI99" s="13"/>
      <c r="AJ99" s="13"/>
      <c r="AK99" s="13"/>
    </row>
    <row r="100" spans="1:37" ht="17.25" customHeight="1" x14ac:dyDescent="0.25">
      <c r="A100" s="22" t="s">
        <v>201</v>
      </c>
      <c r="B100" s="63" t="s">
        <v>36</v>
      </c>
      <c r="C100" s="187">
        <v>0</v>
      </c>
      <c r="D100" s="187">
        <v>0</v>
      </c>
      <c r="E100" s="187">
        <v>0</v>
      </c>
      <c r="F100" s="187">
        <v>0</v>
      </c>
      <c r="G100" s="134">
        <f t="shared" ref="G100" si="44">H100/24</f>
        <v>6</v>
      </c>
      <c r="H100" s="188">
        <v>144</v>
      </c>
      <c r="I100" s="187">
        <v>0</v>
      </c>
      <c r="J100" s="187">
        <v>0</v>
      </c>
      <c r="K100" s="187">
        <v>0</v>
      </c>
      <c r="L100" s="187"/>
      <c r="M100" s="187"/>
      <c r="N100" s="187">
        <v>0</v>
      </c>
      <c r="O100" s="189">
        <v>144</v>
      </c>
      <c r="P100" s="189"/>
      <c r="Q100" s="187">
        <v>0</v>
      </c>
      <c r="R100" s="187">
        <v>0</v>
      </c>
      <c r="S100" s="204">
        <v>0</v>
      </c>
      <c r="T100" s="204">
        <v>0</v>
      </c>
      <c r="U100" s="150">
        <v>0</v>
      </c>
      <c r="V100" s="150">
        <v>0</v>
      </c>
      <c r="W100" s="187">
        <v>0</v>
      </c>
      <c r="X100" s="187">
        <v>144</v>
      </c>
      <c r="Y100" s="196"/>
      <c r="Z100" s="13"/>
      <c r="AA100" s="155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</row>
    <row r="101" spans="1:37" s="56" customFormat="1" ht="18" customHeight="1" x14ac:dyDescent="0.25">
      <c r="A101" s="149"/>
      <c r="B101" s="250" t="s">
        <v>27</v>
      </c>
      <c r="C101" s="104"/>
      <c r="D101" s="104"/>
      <c r="E101" s="104"/>
      <c r="F101" s="104"/>
      <c r="G101" s="61">
        <v>1.5</v>
      </c>
      <c r="H101" s="32">
        <v>36</v>
      </c>
      <c r="I101" s="104">
        <v>36</v>
      </c>
      <c r="J101" s="104"/>
      <c r="K101" s="104"/>
      <c r="L101" s="104"/>
      <c r="M101" s="104"/>
      <c r="N101" s="104"/>
      <c r="O101" s="32"/>
      <c r="P101" s="32"/>
      <c r="Q101" s="104"/>
      <c r="R101" s="104"/>
      <c r="S101" s="114"/>
      <c r="T101" s="114"/>
      <c r="U101" s="104"/>
      <c r="V101" s="104"/>
      <c r="W101" s="251">
        <v>36</v>
      </c>
      <c r="X101" s="104"/>
      <c r="Y101" s="196"/>
      <c r="Z101" s="125"/>
      <c r="AA101" s="125"/>
      <c r="AB101" s="125"/>
      <c r="AC101" s="125"/>
      <c r="AD101" s="125"/>
      <c r="AE101" s="125"/>
      <c r="AF101" s="125"/>
      <c r="AG101" s="125"/>
      <c r="AH101" s="125"/>
      <c r="AI101" s="125"/>
      <c r="AJ101" s="125"/>
      <c r="AK101" s="125"/>
    </row>
    <row r="102" spans="1:37" s="91" customFormat="1" x14ac:dyDescent="0.25">
      <c r="A102" s="54" t="s">
        <v>60</v>
      </c>
      <c r="B102" s="101" t="s">
        <v>61</v>
      </c>
      <c r="C102" s="55">
        <v>0</v>
      </c>
      <c r="D102" s="102">
        <v>0</v>
      </c>
      <c r="E102" s="55">
        <v>0</v>
      </c>
      <c r="F102" s="55">
        <v>0</v>
      </c>
      <c r="G102" s="67">
        <f>H102/24</f>
        <v>9</v>
      </c>
      <c r="H102" s="88">
        <v>216</v>
      </c>
      <c r="I102" s="55">
        <v>0</v>
      </c>
      <c r="J102" s="55">
        <v>0</v>
      </c>
      <c r="K102" s="55">
        <v>0</v>
      </c>
      <c r="L102" s="55"/>
      <c r="M102" s="55"/>
      <c r="N102" s="55">
        <v>0</v>
      </c>
      <c r="O102" s="88">
        <v>216</v>
      </c>
      <c r="P102" s="88"/>
      <c r="Q102" s="55">
        <v>0</v>
      </c>
      <c r="R102" s="55">
        <v>0</v>
      </c>
      <c r="S102" s="252">
        <v>0</v>
      </c>
      <c r="T102" s="252">
        <v>0</v>
      </c>
      <c r="U102" s="55">
        <v>0</v>
      </c>
      <c r="V102" s="55">
        <v>0</v>
      </c>
      <c r="W102" s="55">
        <v>0</v>
      </c>
      <c r="X102" s="102">
        <v>216</v>
      </c>
      <c r="Y102" s="194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</row>
    <row r="103" spans="1:37" s="56" customFormat="1" x14ac:dyDescent="0.25">
      <c r="A103" s="151" t="s">
        <v>242</v>
      </c>
      <c r="B103" s="151" t="s">
        <v>34</v>
      </c>
      <c r="C103" s="23"/>
      <c r="D103" s="24"/>
      <c r="E103" s="24"/>
      <c r="F103" s="92"/>
      <c r="G103" s="61">
        <f>H103/24</f>
        <v>1.5</v>
      </c>
      <c r="H103" s="142">
        <v>36</v>
      </c>
      <c r="I103" s="142">
        <v>36</v>
      </c>
      <c r="J103" s="93"/>
      <c r="K103" s="93"/>
      <c r="L103" s="93"/>
      <c r="M103" s="93"/>
      <c r="N103" s="93"/>
      <c r="O103" s="94"/>
      <c r="P103" s="94"/>
      <c r="Q103" s="25"/>
      <c r="R103" s="26"/>
      <c r="S103" s="26"/>
      <c r="T103" s="26"/>
      <c r="U103" s="26"/>
      <c r="V103" s="24"/>
      <c r="W103" s="65"/>
      <c r="X103" s="217">
        <v>36</v>
      </c>
      <c r="Y103" s="196"/>
      <c r="Z103" s="125"/>
      <c r="AA103" s="125"/>
      <c r="AB103" s="125"/>
      <c r="AC103" s="125"/>
      <c r="AD103" s="125"/>
      <c r="AE103" s="125"/>
      <c r="AF103" s="125"/>
      <c r="AG103" s="125"/>
      <c r="AH103" s="125"/>
      <c r="AI103" s="125"/>
      <c r="AJ103" s="125"/>
      <c r="AK103" s="125"/>
    </row>
    <row r="104" spans="1:37" s="70" customFormat="1" x14ac:dyDescent="0.25">
      <c r="A104" s="43"/>
      <c r="B104" s="211" t="s">
        <v>213</v>
      </c>
      <c r="C104" s="219">
        <f>SUM(C87+C94)</f>
        <v>2</v>
      </c>
      <c r="D104" s="219">
        <f t="shared" ref="D104:V104" si="45">SUM(D87+D94)</f>
        <v>9</v>
      </c>
      <c r="E104" s="219">
        <f t="shared" si="45"/>
        <v>9</v>
      </c>
      <c r="F104" s="219">
        <f t="shared" si="45"/>
        <v>0</v>
      </c>
      <c r="G104" s="219">
        <f>SUM(G87+G94+G102+G101+G103)</f>
        <v>37</v>
      </c>
      <c r="H104" s="219">
        <v>1440</v>
      </c>
      <c r="I104" s="219">
        <f t="shared" si="45"/>
        <v>110</v>
      </c>
      <c r="J104" s="219">
        <f t="shared" si="45"/>
        <v>262</v>
      </c>
      <c r="K104" s="219">
        <f t="shared" si="45"/>
        <v>0</v>
      </c>
      <c r="L104" s="219"/>
      <c r="M104" s="219"/>
      <c r="N104" s="219">
        <f t="shared" si="45"/>
        <v>84</v>
      </c>
      <c r="O104" s="219">
        <f t="shared" si="45"/>
        <v>144</v>
      </c>
      <c r="P104" s="219"/>
      <c r="Q104" s="219">
        <f t="shared" si="45"/>
        <v>0</v>
      </c>
      <c r="R104" s="219">
        <f t="shared" si="45"/>
        <v>0</v>
      </c>
      <c r="S104" s="219">
        <f t="shared" si="45"/>
        <v>0</v>
      </c>
      <c r="T104" s="219">
        <f t="shared" si="45"/>
        <v>0</v>
      </c>
      <c r="U104" s="219">
        <f t="shared" si="45"/>
        <v>0</v>
      </c>
      <c r="V104" s="219">
        <f t="shared" si="45"/>
        <v>0</v>
      </c>
      <c r="W104" s="218">
        <f>SUM(W86+W87+W94+W100+W101)</f>
        <v>612</v>
      </c>
      <c r="X104" s="218">
        <f>SUM(X86+X87+X94+X102+X103)</f>
        <v>828</v>
      </c>
      <c r="Y104" s="195"/>
      <c r="Z104" s="71"/>
      <c r="AA104" s="198"/>
      <c r="AB104" s="71"/>
      <c r="AC104" s="71"/>
      <c r="AD104" s="71"/>
      <c r="AE104" s="71"/>
      <c r="AF104" s="71"/>
      <c r="AG104" s="71"/>
      <c r="AH104" s="71"/>
      <c r="AI104" s="71"/>
      <c r="AJ104" s="71"/>
      <c r="AK104" s="71"/>
    </row>
    <row r="105" spans="1:37" s="225" customFormat="1" ht="27" customHeight="1" x14ac:dyDescent="0.25">
      <c r="A105" s="220"/>
      <c r="B105" s="226" t="s">
        <v>37</v>
      </c>
      <c r="C105" s="221">
        <f t="shared" ref="C105:H105" ca="1" si="46">SUM(C25+C58+C86+C104)</f>
        <v>13</v>
      </c>
      <c r="D105" s="221">
        <f t="shared" ca="1" si="46"/>
        <v>56</v>
      </c>
      <c r="E105" s="221">
        <f t="shared" ca="1" si="46"/>
        <v>44</v>
      </c>
      <c r="F105" s="221">
        <f t="shared" ca="1" si="46"/>
        <v>1</v>
      </c>
      <c r="G105" s="221">
        <f t="shared" si="46"/>
        <v>240</v>
      </c>
      <c r="H105" s="221">
        <f t="shared" si="46"/>
        <v>5760</v>
      </c>
      <c r="I105" s="221">
        <v>1842</v>
      </c>
      <c r="J105" s="221">
        <v>2208</v>
      </c>
      <c r="K105" s="221">
        <f ca="1">SUM(K25+K26+K29+K32+K39+K48+K52+K59+K65+K79+K70+K87+K94+K102)</f>
        <v>30</v>
      </c>
      <c r="L105" s="221"/>
      <c r="M105" s="221"/>
      <c r="N105" s="221">
        <f ca="1">SUM(N25+N26+N29+N32+N39+N48+N52+N59+N65+N79+N70+N87+N94+N102)</f>
        <v>1104</v>
      </c>
      <c r="O105" s="221">
        <f ca="1">SUM(O25+O26+O29+O32+O39+O48+O52+O59+O65+O79+O70+O87+O94+O102)</f>
        <v>576</v>
      </c>
      <c r="P105" s="221"/>
      <c r="Q105" s="221">
        <f ca="1">SUM(Q25+Q58+Q86+Q104)</f>
        <v>684</v>
      </c>
      <c r="R105" s="221">
        <f ca="1">SUM(R25+R58+R86+R104)</f>
        <v>756</v>
      </c>
      <c r="S105" s="221">
        <f ca="1">SUM(S25+S58+S86+S104)</f>
        <v>828</v>
      </c>
      <c r="T105" s="221">
        <f>SUM(T25+T58+T86+T104)</f>
        <v>612</v>
      </c>
      <c r="U105" s="221">
        <v>828</v>
      </c>
      <c r="V105" s="221">
        <v>612</v>
      </c>
      <c r="W105" s="221">
        <v>612</v>
      </c>
      <c r="X105" s="221">
        <v>828</v>
      </c>
      <c r="Y105" s="222"/>
      <c r="Z105" s="223"/>
      <c r="AA105" s="224"/>
      <c r="AB105" s="223"/>
      <c r="AC105" s="223"/>
      <c r="AD105" s="223"/>
      <c r="AE105" s="223"/>
      <c r="AF105" s="223"/>
      <c r="AG105" s="223"/>
      <c r="AH105" s="223"/>
      <c r="AI105" s="223"/>
      <c r="AJ105" s="223"/>
      <c r="AK105" s="223"/>
    </row>
    <row r="106" spans="1:37" s="80" customFormat="1" ht="36" customHeight="1" x14ac:dyDescent="0.25">
      <c r="A106" s="131" t="s">
        <v>244</v>
      </c>
      <c r="B106" s="132" t="s">
        <v>97</v>
      </c>
      <c r="D106" s="79"/>
      <c r="E106" s="79"/>
      <c r="F106" s="79"/>
      <c r="G106" s="69">
        <f>H106/24</f>
        <v>16</v>
      </c>
      <c r="H106" s="69">
        <v>384</v>
      </c>
      <c r="I106" s="131"/>
      <c r="J106" s="131">
        <v>384</v>
      </c>
      <c r="K106" s="131"/>
      <c r="L106" s="131"/>
      <c r="M106" s="131" t="s">
        <v>35</v>
      </c>
      <c r="N106" s="131"/>
      <c r="O106" s="131"/>
      <c r="P106" s="131"/>
      <c r="Q106" s="131">
        <v>48</v>
      </c>
      <c r="R106" s="131">
        <v>48</v>
      </c>
      <c r="S106" s="131">
        <v>48</v>
      </c>
      <c r="T106" s="131">
        <v>48</v>
      </c>
      <c r="U106" s="131">
        <v>48</v>
      </c>
      <c r="V106" s="131">
        <v>48</v>
      </c>
      <c r="W106" s="131">
        <v>48</v>
      </c>
      <c r="X106" s="131">
        <v>48</v>
      </c>
      <c r="Y106" s="195"/>
      <c r="Z106" s="81"/>
      <c r="AA106" s="7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</row>
    <row r="107" spans="1:37" s="56" customFormat="1" ht="39.6" x14ac:dyDescent="0.25">
      <c r="A107" s="104" t="s">
        <v>243</v>
      </c>
      <c r="B107" s="135" t="s">
        <v>98</v>
      </c>
      <c r="C107" s="104"/>
      <c r="D107" s="104"/>
      <c r="E107" s="104"/>
      <c r="F107" s="104"/>
      <c r="G107" s="104">
        <f t="shared" ref="G107" si="47">H107/24</f>
        <v>18</v>
      </c>
      <c r="H107" s="104">
        <f>SUM(H109:H119)</f>
        <v>432</v>
      </c>
      <c r="I107" s="104">
        <f>SUM(I109:I119)</f>
        <v>0</v>
      </c>
      <c r="J107" s="104">
        <f>SUM(J109:J119)</f>
        <v>432</v>
      </c>
      <c r="K107" s="104"/>
      <c r="L107" s="104"/>
      <c r="M107" s="104"/>
      <c r="N107" s="104"/>
      <c r="O107" s="104"/>
      <c r="P107" s="104"/>
      <c r="Q107" s="104">
        <f t="shared" ref="Q107:X107" si="48">SUM(Q109:Q119)</f>
        <v>36</v>
      </c>
      <c r="R107" s="104">
        <f t="shared" si="48"/>
        <v>60</v>
      </c>
      <c r="S107" s="114">
        <f t="shared" si="48"/>
        <v>72</v>
      </c>
      <c r="T107" s="114">
        <f t="shared" si="48"/>
        <v>62</v>
      </c>
      <c r="U107" s="104">
        <f t="shared" si="48"/>
        <v>82</v>
      </c>
      <c r="V107" s="104">
        <f t="shared" si="48"/>
        <v>38</v>
      </c>
      <c r="W107" s="104">
        <f t="shared" si="48"/>
        <v>82</v>
      </c>
      <c r="X107" s="104">
        <f t="shared" si="48"/>
        <v>0</v>
      </c>
      <c r="Y107" s="100"/>
      <c r="Z107" s="125"/>
      <c r="AA107" s="125"/>
      <c r="AB107" s="125"/>
      <c r="AC107" s="125"/>
      <c r="AD107" s="125"/>
      <c r="AE107" s="125"/>
      <c r="AF107" s="125"/>
      <c r="AG107" s="125"/>
      <c r="AH107" s="125"/>
      <c r="AI107" s="125"/>
      <c r="AJ107" s="125"/>
      <c r="AK107" s="125"/>
    </row>
    <row r="108" spans="1:37" s="56" customFormat="1" x14ac:dyDescent="0.25">
      <c r="A108" s="104"/>
      <c r="B108" s="228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67">
        <v>72</v>
      </c>
      <c r="R108" s="67">
        <v>80</v>
      </c>
      <c r="S108" s="67">
        <v>84</v>
      </c>
      <c r="T108" s="67">
        <v>64</v>
      </c>
      <c r="U108" s="67">
        <v>88</v>
      </c>
      <c r="V108" s="67">
        <v>64</v>
      </c>
      <c r="W108" s="67">
        <v>88</v>
      </c>
      <c r="X108" s="157"/>
      <c r="Y108" s="100"/>
      <c r="Z108" s="125"/>
      <c r="AA108" s="125"/>
      <c r="AB108" s="125"/>
      <c r="AC108" s="125"/>
      <c r="AD108" s="125"/>
      <c r="AE108" s="125"/>
      <c r="AF108" s="125"/>
      <c r="AG108" s="125"/>
      <c r="AH108" s="125"/>
      <c r="AI108" s="125"/>
      <c r="AJ108" s="125"/>
      <c r="AK108" s="125"/>
    </row>
    <row r="109" spans="1:37" s="96" customFormat="1" x14ac:dyDescent="0.25">
      <c r="A109" s="114" t="s">
        <v>218</v>
      </c>
      <c r="B109" s="156" t="s">
        <v>214</v>
      </c>
      <c r="C109" s="35"/>
      <c r="D109" s="35"/>
      <c r="E109" s="35"/>
      <c r="F109" s="35"/>
      <c r="G109" s="169">
        <f t="shared" ref="G109:G111" si="49">H109/24</f>
        <v>4.5</v>
      </c>
      <c r="H109" s="157">
        <v>108</v>
      </c>
      <c r="I109" s="168"/>
      <c r="J109" s="35">
        <v>108</v>
      </c>
      <c r="K109" s="35"/>
      <c r="L109" s="35"/>
      <c r="M109" s="35"/>
      <c r="N109" s="168"/>
      <c r="O109" s="168"/>
      <c r="P109" s="168"/>
      <c r="Q109" s="35"/>
      <c r="R109" s="35"/>
      <c r="S109" s="35">
        <v>24</v>
      </c>
      <c r="T109" s="35">
        <v>20</v>
      </c>
      <c r="U109" s="169">
        <v>22</v>
      </c>
      <c r="V109" s="169">
        <v>20</v>
      </c>
      <c r="W109" s="134">
        <v>22</v>
      </c>
      <c r="X109" s="169"/>
      <c r="Y109" s="100"/>
      <c r="Z109" s="97"/>
      <c r="AA109" s="125"/>
      <c r="AB109" s="97"/>
      <c r="AC109" s="97"/>
      <c r="AD109" s="97"/>
      <c r="AE109" s="97"/>
      <c r="AF109" s="97"/>
      <c r="AG109" s="97"/>
      <c r="AH109" s="97"/>
      <c r="AI109" s="97"/>
      <c r="AJ109" s="97"/>
      <c r="AK109" s="97"/>
    </row>
    <row r="110" spans="1:37" s="96" customFormat="1" ht="26.4" x14ac:dyDescent="0.25">
      <c r="A110" s="114" t="s">
        <v>219</v>
      </c>
      <c r="B110" s="156" t="s">
        <v>132</v>
      </c>
      <c r="C110" s="35"/>
      <c r="D110" s="35"/>
      <c r="E110" s="35"/>
      <c r="F110" s="35"/>
      <c r="G110" s="169">
        <f t="shared" si="49"/>
        <v>1</v>
      </c>
      <c r="H110" s="157">
        <v>24</v>
      </c>
      <c r="I110" s="168"/>
      <c r="J110" s="35">
        <v>24</v>
      </c>
      <c r="K110" s="35"/>
      <c r="L110" s="35"/>
      <c r="M110" s="35"/>
      <c r="N110" s="168"/>
      <c r="O110" s="168"/>
      <c r="P110" s="168"/>
      <c r="Q110" s="169"/>
      <c r="R110" s="169">
        <v>24</v>
      </c>
      <c r="S110" s="169"/>
      <c r="T110" s="169"/>
      <c r="U110" s="169"/>
      <c r="V110" s="169"/>
      <c r="W110" s="134"/>
      <c r="X110" s="169"/>
      <c r="Y110" s="100"/>
      <c r="Z110" s="97"/>
      <c r="AA110" s="125"/>
      <c r="AB110" s="97"/>
      <c r="AC110" s="97"/>
      <c r="AD110" s="97"/>
      <c r="AE110" s="97"/>
      <c r="AF110" s="97"/>
      <c r="AG110" s="97"/>
      <c r="AH110" s="97"/>
      <c r="AI110" s="97"/>
      <c r="AJ110" s="97"/>
      <c r="AK110" s="97"/>
    </row>
    <row r="111" spans="1:37" s="96" customFormat="1" ht="24.75" customHeight="1" x14ac:dyDescent="0.25">
      <c r="A111" s="114" t="s">
        <v>220</v>
      </c>
      <c r="B111" s="156" t="s">
        <v>134</v>
      </c>
      <c r="C111" s="35"/>
      <c r="D111" s="35"/>
      <c r="E111" s="35"/>
      <c r="F111" s="35"/>
      <c r="G111" s="169">
        <f t="shared" si="49"/>
        <v>3</v>
      </c>
      <c r="H111" s="157">
        <v>72</v>
      </c>
      <c r="I111" s="168"/>
      <c r="J111" s="35">
        <v>72</v>
      </c>
      <c r="K111" s="35"/>
      <c r="L111" s="35"/>
      <c r="M111" s="35"/>
      <c r="N111" s="168"/>
      <c r="O111" s="168"/>
      <c r="P111" s="168"/>
      <c r="Q111" s="169">
        <v>36</v>
      </c>
      <c r="R111" s="169">
        <v>36</v>
      </c>
      <c r="S111" s="169"/>
      <c r="T111" s="169"/>
      <c r="U111" s="169"/>
      <c r="V111" s="169"/>
      <c r="W111" s="134"/>
      <c r="X111" s="169"/>
      <c r="Y111" s="100"/>
      <c r="Z111" s="97"/>
      <c r="AA111" s="125"/>
      <c r="AB111" s="97"/>
      <c r="AC111" s="97"/>
      <c r="AD111" s="97"/>
      <c r="AE111" s="97"/>
      <c r="AF111" s="97"/>
      <c r="AG111" s="97"/>
      <c r="AH111" s="97"/>
      <c r="AI111" s="97"/>
      <c r="AJ111" s="97"/>
      <c r="AK111" s="97"/>
    </row>
    <row r="112" spans="1:37" s="96" customFormat="1" x14ac:dyDescent="0.25">
      <c r="A112" s="114" t="s">
        <v>221</v>
      </c>
      <c r="B112" s="35" t="s">
        <v>138</v>
      </c>
      <c r="C112" s="35"/>
      <c r="D112" s="35"/>
      <c r="E112" s="35"/>
      <c r="F112" s="35"/>
      <c r="G112" s="169">
        <f t="shared" ref="G112:G119" si="50">H112/24</f>
        <v>1.5</v>
      </c>
      <c r="H112" s="157">
        <v>36</v>
      </c>
      <c r="I112" s="168"/>
      <c r="J112" s="35">
        <v>36</v>
      </c>
      <c r="K112" s="35"/>
      <c r="L112" s="35"/>
      <c r="M112" s="35"/>
      <c r="N112" s="168"/>
      <c r="O112" s="168"/>
      <c r="P112" s="168"/>
      <c r="Q112" s="169"/>
      <c r="R112" s="169"/>
      <c r="S112" s="169"/>
      <c r="T112" s="169">
        <v>18</v>
      </c>
      <c r="U112" s="169">
        <v>18</v>
      </c>
      <c r="V112" s="169"/>
      <c r="W112" s="134"/>
      <c r="X112" s="169"/>
      <c r="Y112" s="100"/>
      <c r="Z112" s="97"/>
      <c r="AA112" s="125"/>
      <c r="AB112" s="97"/>
      <c r="AC112" s="97"/>
      <c r="AD112" s="97"/>
      <c r="AE112" s="97"/>
      <c r="AF112" s="97"/>
      <c r="AG112" s="97"/>
      <c r="AH112" s="97"/>
      <c r="AI112" s="97"/>
      <c r="AJ112" s="97"/>
      <c r="AK112" s="97"/>
    </row>
    <row r="113" spans="1:37" s="96" customFormat="1" ht="35.25" customHeight="1" x14ac:dyDescent="0.25">
      <c r="A113" s="114" t="s">
        <v>222</v>
      </c>
      <c r="B113" s="156" t="s">
        <v>99</v>
      </c>
      <c r="C113" s="35"/>
      <c r="D113" s="35"/>
      <c r="E113" s="35"/>
      <c r="F113" s="35"/>
      <c r="G113" s="169">
        <f t="shared" si="50"/>
        <v>1.5</v>
      </c>
      <c r="H113" s="157">
        <v>36</v>
      </c>
      <c r="I113" s="168"/>
      <c r="J113" s="35">
        <v>36</v>
      </c>
      <c r="K113" s="35"/>
      <c r="L113" s="35"/>
      <c r="M113" s="35"/>
      <c r="N113" s="168"/>
      <c r="O113" s="168"/>
      <c r="P113" s="168"/>
      <c r="Q113" s="169"/>
      <c r="R113" s="169"/>
      <c r="S113" s="169"/>
      <c r="T113" s="169"/>
      <c r="U113" s="169">
        <v>18</v>
      </c>
      <c r="V113" s="169">
        <v>18</v>
      </c>
      <c r="W113" s="134"/>
      <c r="X113" s="169"/>
      <c r="Y113" s="100"/>
      <c r="Z113" s="97"/>
      <c r="AA113" s="125"/>
      <c r="AB113" s="97"/>
      <c r="AC113" s="97"/>
      <c r="AD113" s="97"/>
      <c r="AE113" s="97"/>
      <c r="AF113" s="97"/>
      <c r="AG113" s="97"/>
      <c r="AH113" s="97"/>
      <c r="AI113" s="97"/>
      <c r="AJ113" s="97"/>
      <c r="AK113" s="97"/>
    </row>
    <row r="114" spans="1:37" s="96" customFormat="1" x14ac:dyDescent="0.25">
      <c r="A114" s="114" t="s">
        <v>223</v>
      </c>
      <c r="B114" s="156" t="s">
        <v>216</v>
      </c>
      <c r="C114" s="35"/>
      <c r="D114" s="35"/>
      <c r="E114" s="35"/>
      <c r="F114" s="35"/>
      <c r="G114" s="169">
        <f t="shared" si="50"/>
        <v>1</v>
      </c>
      <c r="H114" s="157">
        <v>24</v>
      </c>
      <c r="I114" s="168"/>
      <c r="J114" s="35">
        <v>24</v>
      </c>
      <c r="K114" s="35"/>
      <c r="L114" s="35"/>
      <c r="M114" s="35"/>
      <c r="N114" s="168"/>
      <c r="O114" s="168"/>
      <c r="P114" s="168"/>
      <c r="Q114" s="169"/>
      <c r="R114" s="169"/>
      <c r="S114" s="169">
        <v>24</v>
      </c>
      <c r="T114" s="169"/>
      <c r="U114" s="169"/>
      <c r="V114" s="169"/>
      <c r="W114" s="134"/>
      <c r="X114" s="169"/>
      <c r="Y114" s="100"/>
      <c r="Z114" s="97"/>
      <c r="AA114" s="125"/>
      <c r="AB114" s="97"/>
      <c r="AC114" s="97"/>
      <c r="AD114" s="97"/>
      <c r="AE114" s="97"/>
      <c r="AF114" s="97"/>
      <c r="AG114" s="97"/>
      <c r="AH114" s="97"/>
      <c r="AI114" s="97"/>
      <c r="AJ114" s="97"/>
      <c r="AK114" s="97"/>
    </row>
    <row r="115" spans="1:37" s="96" customFormat="1" x14ac:dyDescent="0.25">
      <c r="A115" s="114" t="s">
        <v>224</v>
      </c>
      <c r="B115" s="156" t="s">
        <v>217</v>
      </c>
      <c r="C115" s="35"/>
      <c r="D115" s="35"/>
      <c r="E115" s="35"/>
      <c r="F115" s="35"/>
      <c r="G115" s="169">
        <f t="shared" si="50"/>
        <v>1</v>
      </c>
      <c r="H115" s="157">
        <v>24</v>
      </c>
      <c r="I115" s="168"/>
      <c r="J115" s="35">
        <v>24</v>
      </c>
      <c r="K115" s="35"/>
      <c r="L115" s="35"/>
      <c r="M115" s="35"/>
      <c r="N115" s="168"/>
      <c r="O115" s="168"/>
      <c r="P115" s="168"/>
      <c r="Q115" s="169"/>
      <c r="R115" s="169"/>
      <c r="S115" s="169">
        <v>24</v>
      </c>
      <c r="T115" s="169"/>
      <c r="U115" s="169"/>
      <c r="V115" s="169"/>
      <c r="W115" s="134"/>
      <c r="X115" s="169"/>
      <c r="Y115" s="100"/>
      <c r="Z115" s="97"/>
      <c r="AA115" s="125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</row>
    <row r="116" spans="1:37" s="96" customFormat="1" ht="26.4" x14ac:dyDescent="0.25">
      <c r="A116" s="114" t="s">
        <v>245</v>
      </c>
      <c r="B116" s="156" t="s">
        <v>202</v>
      </c>
      <c r="C116" s="35"/>
      <c r="D116" s="35"/>
      <c r="E116" s="35"/>
      <c r="F116" s="35"/>
      <c r="G116" s="169">
        <f t="shared" si="50"/>
        <v>1</v>
      </c>
      <c r="H116" s="157">
        <v>24</v>
      </c>
      <c r="I116" s="168"/>
      <c r="J116" s="35">
        <v>24</v>
      </c>
      <c r="K116" s="35"/>
      <c r="L116" s="35"/>
      <c r="M116" s="35"/>
      <c r="N116" s="168"/>
      <c r="O116" s="168"/>
      <c r="P116" s="168"/>
      <c r="Q116" s="169"/>
      <c r="R116" s="169"/>
      <c r="S116" s="169"/>
      <c r="T116" s="169"/>
      <c r="U116" s="169"/>
      <c r="V116" s="169"/>
      <c r="W116" s="134">
        <v>24</v>
      </c>
      <c r="X116" s="169"/>
      <c r="Y116" s="100"/>
      <c r="Z116" s="97"/>
      <c r="AA116" s="125"/>
      <c r="AB116" s="97"/>
      <c r="AC116" s="97"/>
      <c r="AD116" s="97"/>
      <c r="AE116" s="97"/>
      <c r="AF116" s="97"/>
      <c r="AG116" s="97"/>
      <c r="AH116" s="97"/>
      <c r="AI116" s="97"/>
      <c r="AJ116" s="97"/>
      <c r="AK116" s="97"/>
    </row>
    <row r="117" spans="1:37" s="96" customFormat="1" ht="26.4" x14ac:dyDescent="0.25">
      <c r="A117" s="114" t="s">
        <v>246</v>
      </c>
      <c r="B117" s="156" t="s">
        <v>203</v>
      </c>
      <c r="C117" s="35"/>
      <c r="D117" s="35"/>
      <c r="E117" s="35"/>
      <c r="F117" s="35"/>
      <c r="G117" s="169">
        <f t="shared" si="50"/>
        <v>1</v>
      </c>
      <c r="H117" s="157">
        <v>24</v>
      </c>
      <c r="I117" s="168"/>
      <c r="J117" s="35">
        <v>24</v>
      </c>
      <c r="K117" s="35"/>
      <c r="L117" s="35"/>
      <c r="M117" s="35"/>
      <c r="N117" s="168"/>
      <c r="O117" s="168"/>
      <c r="P117" s="168"/>
      <c r="Q117" s="169"/>
      <c r="R117" s="169"/>
      <c r="S117" s="169"/>
      <c r="T117" s="169"/>
      <c r="U117" s="169"/>
      <c r="V117" s="169"/>
      <c r="W117" s="134">
        <v>24</v>
      </c>
      <c r="X117" s="169"/>
      <c r="Y117" s="100"/>
      <c r="Z117" s="97"/>
      <c r="AA117" s="125"/>
      <c r="AB117" s="97"/>
      <c r="AC117" s="97"/>
      <c r="AD117" s="97"/>
      <c r="AE117" s="97"/>
      <c r="AF117" s="97"/>
      <c r="AG117" s="97"/>
      <c r="AH117" s="97"/>
      <c r="AI117" s="97"/>
      <c r="AJ117" s="97"/>
      <c r="AK117" s="97"/>
    </row>
    <row r="118" spans="1:37" s="96" customFormat="1" x14ac:dyDescent="0.25">
      <c r="A118" s="114" t="s">
        <v>139</v>
      </c>
      <c r="B118" s="35" t="s">
        <v>215</v>
      </c>
      <c r="C118" s="35"/>
      <c r="D118" s="35"/>
      <c r="E118" s="35"/>
      <c r="F118" s="35"/>
      <c r="G118" s="169">
        <f t="shared" si="50"/>
        <v>2</v>
      </c>
      <c r="H118" s="157">
        <v>48</v>
      </c>
      <c r="I118" s="168"/>
      <c r="J118" s="35">
        <v>48</v>
      </c>
      <c r="K118" s="35"/>
      <c r="L118" s="35"/>
      <c r="M118" s="35"/>
      <c r="N118" s="168"/>
      <c r="O118" s="168"/>
      <c r="P118" s="168"/>
      <c r="Q118" s="35"/>
      <c r="R118" s="35"/>
      <c r="S118" s="35"/>
      <c r="T118" s="35">
        <v>24</v>
      </c>
      <c r="U118" s="35">
        <v>24</v>
      </c>
      <c r="V118" s="35"/>
      <c r="W118" s="35"/>
      <c r="X118" s="169"/>
      <c r="Y118" s="100"/>
      <c r="Z118" s="97"/>
      <c r="AA118" s="125"/>
      <c r="AB118" s="97"/>
      <c r="AC118" s="97"/>
      <c r="AD118" s="97"/>
      <c r="AE118" s="97"/>
      <c r="AF118" s="97"/>
      <c r="AG118" s="97"/>
      <c r="AH118" s="97"/>
      <c r="AI118" s="97"/>
      <c r="AJ118" s="97"/>
      <c r="AK118" s="97"/>
    </row>
    <row r="119" spans="1:37" s="96" customFormat="1" ht="26.4" x14ac:dyDescent="0.25">
      <c r="A119" s="104" t="s">
        <v>140</v>
      </c>
      <c r="B119" s="156" t="s">
        <v>281</v>
      </c>
      <c r="C119" s="35"/>
      <c r="D119" s="35"/>
      <c r="E119" s="35"/>
      <c r="F119" s="35"/>
      <c r="G119" s="169">
        <f t="shared" si="50"/>
        <v>0.5</v>
      </c>
      <c r="H119" s="157">
        <v>12</v>
      </c>
      <c r="I119" s="168"/>
      <c r="J119" s="35">
        <v>12</v>
      </c>
      <c r="K119" s="35"/>
      <c r="L119" s="35"/>
      <c r="M119" s="35"/>
      <c r="N119" s="168"/>
      <c r="O119" s="168"/>
      <c r="P119" s="168"/>
      <c r="Q119" s="35"/>
      <c r="R119" s="35"/>
      <c r="S119" s="35"/>
      <c r="T119" s="35"/>
      <c r="U119" s="35"/>
      <c r="V119" s="35"/>
      <c r="W119" s="65">
        <v>12</v>
      </c>
      <c r="X119" s="35"/>
      <c r="Y119" s="100"/>
      <c r="Z119" s="97"/>
      <c r="AA119" s="125"/>
      <c r="AB119" s="97"/>
      <c r="AC119" s="97"/>
      <c r="AD119" s="97"/>
      <c r="AE119" s="97"/>
      <c r="AF119" s="97"/>
      <c r="AG119" s="97"/>
      <c r="AH119" s="97"/>
      <c r="AI119" s="97"/>
      <c r="AJ119" s="97"/>
      <c r="AK119" s="97"/>
    </row>
    <row r="120" spans="1:37" s="73" customFormat="1" x14ac:dyDescent="0.25">
      <c r="A120" s="72"/>
      <c r="B120" s="133" t="s">
        <v>28</v>
      </c>
      <c r="C120" s="133">
        <f ca="1">SUM(C105:C107)</f>
        <v>13</v>
      </c>
      <c r="D120" s="133">
        <f t="shared" ref="D120:X120" ca="1" si="51">SUM(D105:D107)</f>
        <v>56</v>
      </c>
      <c r="E120" s="133">
        <f t="shared" ca="1" si="51"/>
        <v>44</v>
      </c>
      <c r="F120" s="133">
        <f t="shared" ca="1" si="51"/>
        <v>1</v>
      </c>
      <c r="G120" s="133">
        <f t="shared" si="51"/>
        <v>274</v>
      </c>
      <c r="H120" s="133">
        <f t="shared" si="51"/>
        <v>6576</v>
      </c>
      <c r="I120" s="133">
        <f t="shared" si="51"/>
        <v>1842</v>
      </c>
      <c r="J120" s="133">
        <f t="shared" si="51"/>
        <v>3024</v>
      </c>
      <c r="K120" s="133">
        <f t="shared" ca="1" si="51"/>
        <v>30</v>
      </c>
      <c r="L120" s="133"/>
      <c r="M120" s="133"/>
      <c r="N120" s="133">
        <f t="shared" ca="1" si="51"/>
        <v>1104</v>
      </c>
      <c r="O120" s="133">
        <f t="shared" ca="1" si="51"/>
        <v>576</v>
      </c>
      <c r="P120" s="133"/>
      <c r="Q120" s="133">
        <f t="shared" ca="1" si="51"/>
        <v>768</v>
      </c>
      <c r="R120" s="133">
        <f t="shared" ca="1" si="51"/>
        <v>864</v>
      </c>
      <c r="S120" s="133">
        <f t="shared" ca="1" si="51"/>
        <v>948</v>
      </c>
      <c r="T120" s="133">
        <f t="shared" si="51"/>
        <v>722</v>
      </c>
      <c r="U120" s="133">
        <f t="shared" si="51"/>
        <v>958</v>
      </c>
      <c r="V120" s="133">
        <f t="shared" si="51"/>
        <v>698</v>
      </c>
      <c r="W120" s="133">
        <f t="shared" si="51"/>
        <v>742</v>
      </c>
      <c r="X120" s="133">
        <f t="shared" si="51"/>
        <v>876</v>
      </c>
      <c r="Y120" s="197"/>
      <c r="Z120" s="74"/>
      <c r="AA120" s="198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</row>
    <row r="121" spans="1:37" x14ac:dyDescent="0.25">
      <c r="Z121" s="13"/>
      <c r="AA121" s="155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</row>
    <row r="122" spans="1:37" ht="19.5" customHeight="1" x14ac:dyDescent="0.25">
      <c r="Z122" s="13"/>
      <c r="AA122" s="155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</row>
    <row r="123" spans="1:37" x14ac:dyDescent="0.25">
      <c r="Z123" s="13"/>
      <c r="AA123" s="155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</row>
    <row r="124" spans="1:37" x14ac:dyDescent="0.25">
      <c r="Z124" s="13"/>
      <c r="AA124" s="155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</row>
    <row r="125" spans="1:37" x14ac:dyDescent="0.25">
      <c r="Z125" s="13"/>
      <c r="AA125" s="155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</row>
    <row r="126" spans="1:37" x14ac:dyDescent="0.25">
      <c r="Z126" s="13"/>
      <c r="AA126" s="155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</row>
    <row r="127" spans="1:37" x14ac:dyDescent="0.25">
      <c r="Z127" s="13"/>
      <c r="AA127" s="155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</row>
    <row r="128" spans="1:37" x14ac:dyDescent="0.25">
      <c r="Z128" s="13"/>
      <c r="AA128" s="155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</row>
    <row r="129" spans="17:37" x14ac:dyDescent="0.25">
      <c r="Q129" s="7" t="s">
        <v>35</v>
      </c>
      <c r="Z129" s="13"/>
      <c r="AA129" s="155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</row>
    <row r="130" spans="17:37" x14ac:dyDescent="0.25">
      <c r="Z130" s="13"/>
      <c r="AA130" s="155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</row>
    <row r="131" spans="17:37" x14ac:dyDescent="0.25">
      <c r="Z131" s="13"/>
      <c r="AA131" s="155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</row>
    <row r="132" spans="17:37" x14ac:dyDescent="0.25">
      <c r="Z132" s="13"/>
      <c r="AA132" s="155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</row>
    <row r="133" spans="17:37" x14ac:dyDescent="0.25">
      <c r="Z133" s="13"/>
      <c r="AA133" s="155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</row>
    <row r="134" spans="17:37" x14ac:dyDescent="0.25">
      <c r="Z134" s="13"/>
      <c r="AA134" s="155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</row>
    <row r="135" spans="17:37" x14ac:dyDescent="0.25">
      <c r="Z135" s="13"/>
      <c r="AA135" s="155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</row>
    <row r="136" spans="17:37" x14ac:dyDescent="0.25">
      <c r="Z136" s="13"/>
      <c r="AA136" s="155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</row>
    <row r="137" spans="17:37" x14ac:dyDescent="0.25">
      <c r="Z137" s="13"/>
      <c r="AA137" s="155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</row>
    <row r="138" spans="17:37" x14ac:dyDescent="0.25">
      <c r="Z138" s="13"/>
      <c r="AA138" s="155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</row>
    <row r="139" spans="17:37" x14ac:dyDescent="0.25">
      <c r="Z139" s="13"/>
      <c r="AA139" s="155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</row>
    <row r="140" spans="17:37" x14ac:dyDescent="0.25">
      <c r="Z140" s="13"/>
      <c r="AA140" s="155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</row>
    <row r="141" spans="17:37" x14ac:dyDescent="0.25">
      <c r="Z141" s="13"/>
      <c r="AA141" s="155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</row>
    <row r="142" spans="17:37" x14ac:dyDescent="0.25">
      <c r="Z142" s="13"/>
      <c r="AA142" s="155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</row>
    <row r="143" spans="17:37" x14ac:dyDescent="0.25">
      <c r="Z143" s="13"/>
      <c r="AA143" s="155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</row>
    <row r="144" spans="17:37" x14ac:dyDescent="0.25">
      <c r="Z144" s="13"/>
      <c r="AA144" s="155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</row>
  </sheetData>
  <autoFilter ref="B5:X119" xr:uid="{00000000-0009-0000-0000-000002000000}"/>
  <mergeCells count="33">
    <mergeCell ref="A1:X1"/>
    <mergeCell ref="E3:E4"/>
    <mergeCell ref="A2:A4"/>
    <mergeCell ref="B2:B4"/>
    <mergeCell ref="H3:H4"/>
    <mergeCell ref="C3:C4"/>
    <mergeCell ref="D3:D4"/>
    <mergeCell ref="C2:G2"/>
    <mergeCell ref="Q2:X2"/>
    <mergeCell ref="U3:V3"/>
    <mergeCell ref="Q3:R3"/>
    <mergeCell ref="S3:T3"/>
    <mergeCell ref="W3:X3"/>
    <mergeCell ref="F3:F5"/>
    <mergeCell ref="N2:P2"/>
    <mergeCell ref="I3:K3"/>
    <mergeCell ref="B88:X88"/>
    <mergeCell ref="B95:X95"/>
    <mergeCell ref="B60:X60"/>
    <mergeCell ref="B66:X66"/>
    <mergeCell ref="B71:X71"/>
    <mergeCell ref="N3:P3"/>
    <mergeCell ref="G3:G4"/>
    <mergeCell ref="B80:X80"/>
    <mergeCell ref="B33:X33"/>
    <mergeCell ref="B40:X40"/>
    <mergeCell ref="B49:X49"/>
    <mergeCell ref="B53:X53"/>
    <mergeCell ref="B27:X27"/>
    <mergeCell ref="B30:X30"/>
    <mergeCell ref="L2:L4"/>
    <mergeCell ref="M2:M4"/>
    <mergeCell ref="H2:K2"/>
  </mergeCells>
  <phoneticPr fontId="3" type="noConversion"/>
  <printOptions horizontalCentered="1" verticalCentered="1"/>
  <pageMargins left="0.25" right="0.25" top="0.75" bottom="0.75" header="0.3" footer="0.3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72652-43C6-4A19-B08C-58F0D54EAF97}">
  <dimension ref="A1:X101"/>
  <sheetViews>
    <sheetView topLeftCell="A47" zoomScale="90" zoomScaleNormal="90" workbookViewId="0">
      <selection activeCell="B34" sqref="B34"/>
    </sheetView>
  </sheetViews>
  <sheetFormatPr defaultColWidth="9.109375" defaultRowHeight="13.2" outlineLevelRow="2" outlineLevelCol="2" x14ac:dyDescent="0.25"/>
  <cols>
    <col min="1" max="1" width="8.5546875" style="262" customWidth="1"/>
    <col min="2" max="2" width="40.33203125" style="262" customWidth="1"/>
    <col min="3" max="6" width="4.109375" style="262" customWidth="1"/>
    <col min="7" max="7" width="4.109375" style="263" customWidth="1" outlineLevel="1"/>
    <col min="8" max="15" width="4.109375" style="262" customWidth="1" outlineLevel="1"/>
    <col min="16" max="18" width="4.109375" style="262" customWidth="1" outlineLevel="2"/>
    <col min="19" max="19" width="4.109375" style="262" customWidth="1" outlineLevel="1"/>
    <col min="20" max="20" width="4.109375" style="45" customWidth="1" outlineLevel="1"/>
    <col min="21" max="21" width="4.109375" style="262" customWidth="1" outlineLevel="1"/>
    <col min="22" max="22" width="9.109375" style="261"/>
    <col min="23" max="23" width="9.109375" style="262"/>
    <col min="24" max="24" width="9.109375" style="263"/>
    <col min="25" max="16384" width="9.109375" style="262"/>
  </cols>
  <sheetData>
    <row r="1" spans="1:24" ht="21" customHeight="1" x14ac:dyDescent="0.25">
      <c r="A1" s="386" t="s">
        <v>280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386"/>
      <c r="P1" s="386"/>
      <c r="Q1" s="386"/>
      <c r="R1" s="386"/>
      <c r="S1" s="386"/>
      <c r="T1" s="386"/>
      <c r="U1" s="386"/>
    </row>
    <row r="2" spans="1:24" ht="23.25" customHeight="1" x14ac:dyDescent="0.25">
      <c r="A2" s="383" t="s">
        <v>38</v>
      </c>
      <c r="B2" s="382" t="s">
        <v>255</v>
      </c>
      <c r="C2" s="382" t="s">
        <v>77</v>
      </c>
      <c r="D2" s="382"/>
      <c r="E2" s="382"/>
      <c r="F2" s="382"/>
      <c r="G2" s="387" t="s">
        <v>249</v>
      </c>
      <c r="H2" s="387"/>
      <c r="I2" s="387"/>
      <c r="J2" s="387"/>
      <c r="K2" s="388" t="s">
        <v>253</v>
      </c>
      <c r="L2" s="388" t="s">
        <v>254</v>
      </c>
      <c r="M2" s="387" t="s">
        <v>250</v>
      </c>
      <c r="N2" s="387"/>
      <c r="O2" s="387"/>
      <c r="P2" s="381" t="s">
        <v>287</v>
      </c>
      <c r="Q2" s="381"/>
      <c r="R2" s="381"/>
      <c r="S2" s="381"/>
      <c r="T2" s="381"/>
      <c r="U2" s="381"/>
    </row>
    <row r="3" spans="1:24" ht="12.75" customHeight="1" x14ac:dyDescent="0.25">
      <c r="A3" s="383"/>
      <c r="B3" s="387"/>
      <c r="C3" s="383" t="s">
        <v>81</v>
      </c>
      <c r="D3" s="383" t="s">
        <v>53</v>
      </c>
      <c r="E3" s="384" t="s">
        <v>39</v>
      </c>
      <c r="F3" s="384" t="s">
        <v>256</v>
      </c>
      <c r="G3" s="385" t="s">
        <v>16</v>
      </c>
      <c r="H3" s="386" t="s">
        <v>251</v>
      </c>
      <c r="I3" s="386"/>
      <c r="J3" s="386"/>
      <c r="K3" s="388"/>
      <c r="L3" s="388"/>
      <c r="M3" s="386" t="s">
        <v>252</v>
      </c>
      <c r="N3" s="386"/>
      <c r="O3" s="386"/>
      <c r="P3" s="386" t="s">
        <v>17</v>
      </c>
      <c r="Q3" s="386"/>
      <c r="R3" s="386" t="s">
        <v>18</v>
      </c>
      <c r="S3" s="386"/>
      <c r="T3" s="386" t="s">
        <v>19</v>
      </c>
      <c r="U3" s="386"/>
    </row>
    <row r="4" spans="1:24" ht="108.75" customHeight="1" x14ac:dyDescent="0.25">
      <c r="A4" s="383"/>
      <c r="B4" s="387"/>
      <c r="C4" s="383"/>
      <c r="D4" s="383"/>
      <c r="E4" s="384"/>
      <c r="F4" s="384"/>
      <c r="G4" s="385"/>
      <c r="H4" s="264" t="s">
        <v>123</v>
      </c>
      <c r="I4" s="264" t="s">
        <v>83</v>
      </c>
      <c r="J4" s="265" t="s">
        <v>86</v>
      </c>
      <c r="K4" s="388"/>
      <c r="L4" s="388"/>
      <c r="M4" s="264" t="s">
        <v>84</v>
      </c>
      <c r="N4" s="266" t="s">
        <v>85</v>
      </c>
      <c r="O4" s="267" t="s">
        <v>257</v>
      </c>
      <c r="P4" s="268" t="s">
        <v>124</v>
      </c>
      <c r="Q4" s="268" t="s">
        <v>125</v>
      </c>
      <c r="R4" s="268" t="s">
        <v>126</v>
      </c>
      <c r="S4" s="268" t="s">
        <v>127</v>
      </c>
      <c r="T4" s="44" t="s">
        <v>128</v>
      </c>
      <c r="U4" s="268" t="s">
        <v>129</v>
      </c>
    </row>
    <row r="5" spans="1:24" s="271" customFormat="1" x14ac:dyDescent="0.25">
      <c r="A5" s="269">
        <v>1</v>
      </c>
      <c r="B5" s="269">
        <v>2</v>
      </c>
      <c r="C5" s="269">
        <v>3</v>
      </c>
      <c r="D5" s="269">
        <v>4</v>
      </c>
      <c r="E5" s="269">
        <v>5</v>
      </c>
      <c r="F5" s="269">
        <v>6</v>
      </c>
      <c r="G5" s="270">
        <v>7</v>
      </c>
      <c r="H5" s="269">
        <v>8</v>
      </c>
      <c r="I5" s="269">
        <v>9</v>
      </c>
      <c r="J5" s="269">
        <v>10</v>
      </c>
      <c r="K5" s="269">
        <v>11</v>
      </c>
      <c r="L5" s="269">
        <v>12</v>
      </c>
      <c r="M5" s="269">
        <v>13</v>
      </c>
      <c r="N5" s="269">
        <v>14</v>
      </c>
      <c r="O5" s="269">
        <v>15</v>
      </c>
      <c r="P5" s="269">
        <v>18</v>
      </c>
      <c r="Q5" s="269">
        <v>19</v>
      </c>
      <c r="R5" s="269">
        <v>20</v>
      </c>
      <c r="S5" s="269">
        <v>21</v>
      </c>
      <c r="T5" s="269">
        <v>22</v>
      </c>
      <c r="U5" s="269">
        <v>23</v>
      </c>
      <c r="V5" s="261"/>
      <c r="X5" s="263"/>
    </row>
    <row r="6" spans="1:24" s="271" customFormat="1" x14ac:dyDescent="0.25">
      <c r="A6" s="269"/>
      <c r="B6" s="269" t="s">
        <v>25</v>
      </c>
      <c r="C6" s="269"/>
      <c r="D6" s="269"/>
      <c r="E6" s="269"/>
      <c r="F6" s="269"/>
      <c r="G6" s="270"/>
      <c r="H6" s="269"/>
      <c r="I6" s="269"/>
      <c r="J6" s="269"/>
      <c r="K6" s="269"/>
      <c r="L6" s="269"/>
      <c r="M6" s="269"/>
      <c r="N6" s="269"/>
      <c r="O6" s="269"/>
      <c r="P6" s="269">
        <v>22</v>
      </c>
      <c r="Q6" s="269">
        <v>16</v>
      </c>
      <c r="R6" s="269">
        <v>22</v>
      </c>
      <c r="S6" s="269">
        <v>16</v>
      </c>
      <c r="T6" s="47">
        <v>22</v>
      </c>
      <c r="U6" s="269">
        <v>10</v>
      </c>
      <c r="V6" s="261"/>
      <c r="X6" s="263"/>
    </row>
    <row r="7" spans="1:24" s="271" customFormat="1" x14ac:dyDescent="0.25">
      <c r="A7" s="269"/>
      <c r="B7" s="272" t="s">
        <v>23</v>
      </c>
      <c r="C7" s="269"/>
      <c r="D7" s="269"/>
      <c r="E7" s="269"/>
      <c r="F7" s="269"/>
      <c r="G7" s="270"/>
      <c r="H7" s="269"/>
      <c r="I7" s="269"/>
      <c r="J7" s="269"/>
      <c r="K7" s="269"/>
      <c r="L7" s="269"/>
      <c r="M7" s="269"/>
      <c r="N7" s="269"/>
      <c r="O7" s="269"/>
      <c r="P7" s="273">
        <f ca="1">(P40-36)/P6</f>
        <v>36</v>
      </c>
      <c r="Q7" s="273">
        <f>(Q40-36)/Q6</f>
        <v>36</v>
      </c>
      <c r="R7" s="273">
        <f>(R68-36)/R6</f>
        <v>36</v>
      </c>
      <c r="S7" s="273">
        <f>(S68-36)/S6</f>
        <v>36</v>
      </c>
      <c r="T7" s="273">
        <f>(T86-36)/T6</f>
        <v>36</v>
      </c>
      <c r="U7" s="273">
        <f>(U86-36-216)/U6</f>
        <v>36</v>
      </c>
      <c r="V7" s="261"/>
      <c r="X7" s="263"/>
    </row>
    <row r="8" spans="1:24" s="70" customFormat="1" ht="25.5" customHeight="1" outlineLevel="1" x14ac:dyDescent="0.25">
      <c r="A8" s="43" t="s">
        <v>153</v>
      </c>
      <c r="B8" s="68" t="s">
        <v>33</v>
      </c>
      <c r="C8" s="69">
        <f>COUNT(C10)</f>
        <v>1</v>
      </c>
      <c r="D8" s="69">
        <f t="shared" ref="D8:E8" si="0">COUNT(D10)</f>
        <v>1</v>
      </c>
      <c r="E8" s="69">
        <f t="shared" si="0"/>
        <v>0</v>
      </c>
      <c r="F8" s="69">
        <v>12</v>
      </c>
      <c r="G8" s="78">
        <v>288</v>
      </c>
      <c r="H8" s="78">
        <f>SUM(H10)</f>
        <v>0</v>
      </c>
      <c r="I8" s="78">
        <v>288</v>
      </c>
      <c r="J8" s="78">
        <f t="shared" ref="J8" si="1">SUM(J10)</f>
        <v>0</v>
      </c>
      <c r="K8" s="78"/>
      <c r="L8" s="78"/>
      <c r="M8" s="78">
        <f t="shared" ref="M8:N8" si="2">SUM(M10)</f>
        <v>0</v>
      </c>
      <c r="N8" s="78">
        <f t="shared" si="2"/>
        <v>0</v>
      </c>
      <c r="O8" s="78"/>
      <c r="P8" s="202">
        <v>60</v>
      </c>
      <c r="Q8" s="202">
        <v>48</v>
      </c>
      <c r="R8" s="78">
        <v>66</v>
      </c>
      <c r="S8" s="78">
        <v>48</v>
      </c>
      <c r="T8" s="78">
        <v>66</v>
      </c>
      <c r="U8" s="78">
        <f t="shared" ref="U8" si="3">SUM(U10)</f>
        <v>0</v>
      </c>
      <c r="V8" s="195"/>
    </row>
    <row r="9" spans="1:24" s="276" customFormat="1" ht="25.5" customHeight="1" outlineLevel="1" x14ac:dyDescent="0.25">
      <c r="A9" s="274"/>
      <c r="B9" s="381" t="s">
        <v>142</v>
      </c>
      <c r="C9" s="381"/>
      <c r="D9" s="381"/>
      <c r="E9" s="381"/>
      <c r="F9" s="381"/>
      <c r="G9" s="381"/>
      <c r="H9" s="381"/>
      <c r="I9" s="381"/>
      <c r="J9" s="381"/>
      <c r="K9" s="381"/>
      <c r="L9" s="381"/>
      <c r="M9" s="381"/>
      <c r="N9" s="381"/>
      <c r="O9" s="381"/>
      <c r="P9" s="381"/>
      <c r="Q9" s="381"/>
      <c r="R9" s="381"/>
      <c r="S9" s="381"/>
      <c r="T9" s="381"/>
      <c r="U9" s="381"/>
      <c r="V9" s="275"/>
    </row>
    <row r="10" spans="1:24" s="278" customFormat="1" ht="17.25" customHeight="1" outlineLevel="1" x14ac:dyDescent="0.25">
      <c r="A10" s="277" t="s">
        <v>238</v>
      </c>
      <c r="B10" s="105" t="s">
        <v>88</v>
      </c>
      <c r="C10" s="35">
        <v>7</v>
      </c>
      <c r="D10" s="35">
        <v>5</v>
      </c>
      <c r="E10" s="35"/>
      <c r="F10" s="35">
        <v>12</v>
      </c>
      <c r="G10" s="157">
        <v>288</v>
      </c>
      <c r="H10" s="35"/>
      <c r="I10" s="35">
        <v>288</v>
      </c>
      <c r="J10" s="35"/>
      <c r="K10" s="35"/>
      <c r="L10" s="35"/>
      <c r="M10" s="157"/>
      <c r="N10" s="35"/>
      <c r="O10" s="35"/>
      <c r="P10" s="35">
        <v>60</v>
      </c>
      <c r="Q10" s="35">
        <v>48</v>
      </c>
      <c r="R10" s="35">
        <v>66</v>
      </c>
      <c r="S10" s="35">
        <v>48</v>
      </c>
      <c r="T10" s="65">
        <v>66</v>
      </c>
      <c r="U10" s="35"/>
      <c r="V10" s="275"/>
      <c r="X10" s="276"/>
    </row>
    <row r="11" spans="1:24" s="70" customFormat="1" ht="39.6" outlineLevel="1" x14ac:dyDescent="0.25">
      <c r="A11" s="43" t="s">
        <v>154</v>
      </c>
      <c r="B11" s="68" t="s">
        <v>100</v>
      </c>
      <c r="C11" s="69">
        <f>COUNT(C13)</f>
        <v>0</v>
      </c>
      <c r="D11" s="69">
        <f t="shared" ref="D11:E11" si="4">COUNT(D13)</f>
        <v>1</v>
      </c>
      <c r="E11" s="69">
        <f t="shared" si="4"/>
        <v>1</v>
      </c>
      <c r="F11" s="78">
        <f t="shared" ref="F11:U11" si="5">SUM(F13)</f>
        <v>1</v>
      </c>
      <c r="G11" s="78">
        <f t="shared" si="5"/>
        <v>24</v>
      </c>
      <c r="H11" s="78">
        <f t="shared" si="5"/>
        <v>10</v>
      </c>
      <c r="I11" s="78">
        <f t="shared" si="5"/>
        <v>14</v>
      </c>
      <c r="J11" s="78">
        <f t="shared" si="5"/>
        <v>0</v>
      </c>
      <c r="K11" s="78"/>
      <c r="L11" s="78"/>
      <c r="M11" s="78">
        <f t="shared" si="5"/>
        <v>0</v>
      </c>
      <c r="N11" s="78">
        <f t="shared" si="5"/>
        <v>0</v>
      </c>
      <c r="O11" s="78"/>
      <c r="P11" s="202">
        <f t="shared" si="5"/>
        <v>24</v>
      </c>
      <c r="Q11" s="202">
        <f t="shared" si="5"/>
        <v>0</v>
      </c>
      <c r="R11" s="78">
        <f t="shared" si="5"/>
        <v>0</v>
      </c>
      <c r="S11" s="78">
        <f t="shared" si="5"/>
        <v>0</v>
      </c>
      <c r="T11" s="78">
        <f t="shared" si="5"/>
        <v>0</v>
      </c>
      <c r="U11" s="78">
        <f t="shared" si="5"/>
        <v>0</v>
      </c>
      <c r="V11" s="195"/>
    </row>
    <row r="12" spans="1:24" s="276" customFormat="1" ht="24" customHeight="1" outlineLevel="1" x14ac:dyDescent="0.25">
      <c r="A12" s="274"/>
      <c r="B12" s="381" t="s">
        <v>143</v>
      </c>
      <c r="C12" s="381"/>
      <c r="D12" s="381"/>
      <c r="E12" s="381"/>
      <c r="F12" s="381"/>
      <c r="G12" s="381"/>
      <c r="H12" s="381"/>
      <c r="I12" s="381"/>
      <c r="J12" s="381"/>
      <c r="K12" s="381"/>
      <c r="L12" s="381"/>
      <c r="M12" s="381"/>
      <c r="N12" s="381"/>
      <c r="O12" s="381"/>
      <c r="P12" s="381"/>
      <c r="Q12" s="381"/>
      <c r="R12" s="381"/>
      <c r="S12" s="381"/>
      <c r="T12" s="381"/>
      <c r="U12" s="381"/>
      <c r="V12" s="275"/>
    </row>
    <row r="13" spans="1:24" s="278" customFormat="1" ht="24" customHeight="1" outlineLevel="1" x14ac:dyDescent="0.25">
      <c r="A13" s="277" t="s">
        <v>212</v>
      </c>
      <c r="B13" s="156" t="s">
        <v>101</v>
      </c>
      <c r="C13" s="35"/>
      <c r="D13" s="35">
        <v>3</v>
      </c>
      <c r="E13" s="35">
        <v>1</v>
      </c>
      <c r="F13" s="35">
        <f t="shared" ref="F13" si="6">G13/24</f>
        <v>1</v>
      </c>
      <c r="G13" s="157">
        <v>24</v>
      </c>
      <c r="H13" s="35">
        <v>10</v>
      </c>
      <c r="I13" s="35">
        <f t="shared" ref="I13" si="7">$G13-$H13</f>
        <v>14</v>
      </c>
      <c r="J13" s="35"/>
      <c r="K13" s="35"/>
      <c r="L13" s="35"/>
      <c r="M13" s="157"/>
      <c r="N13" s="35"/>
      <c r="O13" s="35"/>
      <c r="P13" s="35">
        <v>24</v>
      </c>
      <c r="Q13" s="35"/>
      <c r="R13" s="35"/>
      <c r="S13" s="35"/>
      <c r="T13" s="65"/>
      <c r="U13" s="35"/>
      <c r="V13" s="275"/>
      <c r="X13" s="276"/>
    </row>
    <row r="14" spans="1:24" s="80" customFormat="1" ht="27" customHeight="1" outlineLevel="1" x14ac:dyDescent="0.25">
      <c r="A14" s="68" t="s">
        <v>155</v>
      </c>
      <c r="B14" s="68" t="s">
        <v>152</v>
      </c>
      <c r="C14" s="69">
        <f>COUNT(C18:C20)</f>
        <v>0</v>
      </c>
      <c r="D14" s="69">
        <f>COUNT(D16:D20)</f>
        <v>5</v>
      </c>
      <c r="E14" s="69">
        <f>COUNT(E16:E20)</f>
        <v>5</v>
      </c>
      <c r="F14" s="89">
        <f t="shared" ref="F14:U14" si="8">SUM(F16:F20)</f>
        <v>7.5</v>
      </c>
      <c r="G14" s="89">
        <f t="shared" si="8"/>
        <v>180</v>
      </c>
      <c r="H14" s="89">
        <f t="shared" si="8"/>
        <v>100</v>
      </c>
      <c r="I14" s="89">
        <f t="shared" si="8"/>
        <v>80</v>
      </c>
      <c r="J14" s="89">
        <f t="shared" si="8"/>
        <v>0</v>
      </c>
      <c r="K14" s="89"/>
      <c r="L14" s="89"/>
      <c r="M14" s="89">
        <f t="shared" si="8"/>
        <v>0</v>
      </c>
      <c r="N14" s="89">
        <f t="shared" si="8"/>
        <v>0</v>
      </c>
      <c r="O14" s="89"/>
      <c r="P14" s="89">
        <f t="shared" si="8"/>
        <v>72</v>
      </c>
      <c r="Q14" s="89">
        <f t="shared" si="8"/>
        <v>18</v>
      </c>
      <c r="R14" s="89">
        <f t="shared" si="8"/>
        <v>54</v>
      </c>
      <c r="S14" s="89">
        <f t="shared" si="8"/>
        <v>0</v>
      </c>
      <c r="T14" s="89">
        <f t="shared" si="8"/>
        <v>36</v>
      </c>
      <c r="U14" s="89">
        <f t="shared" si="8"/>
        <v>0</v>
      </c>
      <c r="V14" s="195"/>
      <c r="X14" s="70"/>
    </row>
    <row r="15" spans="1:24" s="278" customFormat="1" ht="57" customHeight="1" outlineLevel="1" x14ac:dyDescent="0.25">
      <c r="A15" s="228"/>
      <c r="B15" s="381" t="s">
        <v>149</v>
      </c>
      <c r="C15" s="381"/>
      <c r="D15" s="381"/>
      <c r="E15" s="381"/>
      <c r="F15" s="381"/>
      <c r="G15" s="381"/>
      <c r="H15" s="381"/>
      <c r="I15" s="381"/>
      <c r="J15" s="381"/>
      <c r="K15" s="381"/>
      <c r="L15" s="381"/>
      <c r="M15" s="381"/>
      <c r="N15" s="381"/>
      <c r="O15" s="381"/>
      <c r="P15" s="381"/>
      <c r="Q15" s="381"/>
      <c r="R15" s="381"/>
      <c r="S15" s="381"/>
      <c r="T15" s="381"/>
      <c r="U15" s="381"/>
      <c r="V15" s="275"/>
      <c r="X15" s="276"/>
    </row>
    <row r="16" spans="1:24" s="278" customFormat="1" ht="13.5" customHeight="1" outlineLevel="1" x14ac:dyDescent="0.25">
      <c r="A16" s="156" t="s">
        <v>209</v>
      </c>
      <c r="B16" s="156" t="s">
        <v>54</v>
      </c>
      <c r="C16" s="35"/>
      <c r="D16" s="35">
        <v>3</v>
      </c>
      <c r="E16" s="35">
        <v>1</v>
      </c>
      <c r="F16" s="35">
        <f>G16/24</f>
        <v>2</v>
      </c>
      <c r="G16" s="138">
        <v>48</v>
      </c>
      <c r="H16" s="36">
        <v>28</v>
      </c>
      <c r="I16" s="35">
        <f>$G16-$H16</f>
        <v>20</v>
      </c>
      <c r="J16" s="36"/>
      <c r="K16" s="36"/>
      <c r="L16" s="36"/>
      <c r="M16" s="38"/>
      <c r="N16" s="38"/>
      <c r="O16" s="38"/>
      <c r="P16" s="38">
        <v>48</v>
      </c>
      <c r="Q16" s="38"/>
      <c r="R16" s="38"/>
      <c r="S16" s="35"/>
      <c r="T16" s="65"/>
      <c r="U16" s="35"/>
      <c r="V16" s="275"/>
      <c r="X16" s="276"/>
    </row>
    <row r="17" spans="1:24" s="278" customFormat="1" ht="13.5" customHeight="1" outlineLevel="1" x14ac:dyDescent="0.25">
      <c r="A17" s="156" t="s">
        <v>239</v>
      </c>
      <c r="B17" s="156" t="s">
        <v>63</v>
      </c>
      <c r="C17" s="35"/>
      <c r="D17" s="35">
        <v>3</v>
      </c>
      <c r="E17" s="35">
        <v>1</v>
      </c>
      <c r="F17" s="35">
        <f>G17/24</f>
        <v>1</v>
      </c>
      <c r="G17" s="138">
        <v>24</v>
      </c>
      <c r="H17" s="36">
        <v>4</v>
      </c>
      <c r="I17" s="35">
        <f>$G17-$H17</f>
        <v>20</v>
      </c>
      <c r="J17" s="36"/>
      <c r="K17" s="36"/>
      <c r="L17" s="36"/>
      <c r="M17" s="38"/>
      <c r="N17" s="38"/>
      <c r="O17" s="38"/>
      <c r="P17" s="38">
        <v>24</v>
      </c>
      <c r="Q17" s="38"/>
      <c r="R17" s="38"/>
      <c r="S17" s="35"/>
      <c r="T17" s="65"/>
      <c r="U17" s="35"/>
      <c r="V17" s="275"/>
      <c r="X17" s="276"/>
    </row>
    <row r="18" spans="1:24" s="278" customFormat="1" ht="13.5" customHeight="1" outlineLevel="1" x14ac:dyDescent="0.25">
      <c r="A18" s="156" t="s">
        <v>282</v>
      </c>
      <c r="B18" s="156" t="s">
        <v>288</v>
      </c>
      <c r="C18" s="168"/>
      <c r="D18" s="35">
        <v>7</v>
      </c>
      <c r="E18" s="35">
        <v>1</v>
      </c>
      <c r="F18" s="169">
        <f>G18/24</f>
        <v>1.5</v>
      </c>
      <c r="G18" s="279">
        <v>36</v>
      </c>
      <c r="H18" s="38">
        <v>20</v>
      </c>
      <c r="I18" s="35">
        <f>$G18-$H18-$M18</f>
        <v>16</v>
      </c>
      <c r="J18" s="280"/>
      <c r="K18" s="280"/>
      <c r="L18" s="280"/>
      <c r="M18" s="280"/>
      <c r="N18" s="280"/>
      <c r="O18" s="280"/>
      <c r="P18" s="280"/>
      <c r="Q18" s="281"/>
      <c r="R18" s="281">
        <v>36</v>
      </c>
      <c r="S18" s="168"/>
      <c r="T18" s="38"/>
      <c r="U18" s="35"/>
      <c r="V18" s="275"/>
      <c r="X18" s="276"/>
    </row>
    <row r="19" spans="1:24" s="278" customFormat="1" ht="13.5" customHeight="1" outlineLevel="1" x14ac:dyDescent="0.25">
      <c r="A19" s="156" t="s">
        <v>210</v>
      </c>
      <c r="B19" s="6" t="s">
        <v>64</v>
      </c>
      <c r="C19" s="168"/>
      <c r="D19" s="35">
        <v>7</v>
      </c>
      <c r="E19" s="35">
        <v>1</v>
      </c>
      <c r="F19" s="169">
        <f>G19/24</f>
        <v>1.5</v>
      </c>
      <c r="G19" s="279">
        <v>36</v>
      </c>
      <c r="H19" s="38">
        <v>28</v>
      </c>
      <c r="I19" s="35">
        <f>$G19-$H19-$M19</f>
        <v>8</v>
      </c>
      <c r="J19" s="280"/>
      <c r="K19" s="280"/>
      <c r="L19" s="280"/>
      <c r="M19" s="280"/>
      <c r="N19" s="280"/>
      <c r="O19" s="280"/>
      <c r="P19" s="280"/>
      <c r="Q19" s="281"/>
      <c r="R19" s="281"/>
      <c r="S19" s="168"/>
      <c r="T19" s="39">
        <v>36</v>
      </c>
      <c r="U19" s="35"/>
      <c r="V19" s="275"/>
      <c r="X19" s="276"/>
    </row>
    <row r="20" spans="1:24" s="278" customFormat="1" ht="13.5" customHeight="1" outlineLevel="1" x14ac:dyDescent="0.25">
      <c r="A20" s="156" t="s">
        <v>211</v>
      </c>
      <c r="B20" s="6" t="s">
        <v>289</v>
      </c>
      <c r="C20" s="168"/>
      <c r="D20" s="35">
        <v>7</v>
      </c>
      <c r="E20" s="35">
        <v>1</v>
      </c>
      <c r="F20" s="169">
        <f t="shared" ref="F20" si="9">G20/24</f>
        <v>1.5</v>
      </c>
      <c r="G20" s="279">
        <v>36</v>
      </c>
      <c r="H20" s="38">
        <v>20</v>
      </c>
      <c r="I20" s="35">
        <f>$G20-$H20-$M20</f>
        <v>16</v>
      </c>
      <c r="J20" s="280"/>
      <c r="K20" s="280"/>
      <c r="L20" s="280"/>
      <c r="M20" s="280"/>
      <c r="N20" s="280"/>
      <c r="O20" s="280"/>
      <c r="P20" s="280"/>
      <c r="Q20" s="281">
        <v>18</v>
      </c>
      <c r="R20" s="281">
        <v>18</v>
      </c>
      <c r="S20" s="168"/>
      <c r="T20" s="39"/>
      <c r="U20" s="35"/>
      <c r="V20" s="275"/>
      <c r="X20" s="276"/>
    </row>
    <row r="21" spans="1:24" s="84" customFormat="1" ht="51" customHeight="1" outlineLevel="2" x14ac:dyDescent="0.25">
      <c r="A21" s="54" t="s">
        <v>157</v>
      </c>
      <c r="B21" s="58" t="s">
        <v>103</v>
      </c>
      <c r="C21" s="282">
        <f>COUNT(C23:C28)</f>
        <v>2</v>
      </c>
      <c r="D21" s="282">
        <f>COUNT(D23:D28)</f>
        <v>6</v>
      </c>
      <c r="E21" s="282">
        <f>COUNT(E23:E28)</f>
        <v>5</v>
      </c>
      <c r="F21" s="83">
        <f>SUM(F23:F29)</f>
        <v>30</v>
      </c>
      <c r="G21" s="60">
        <f>SUM(G23:G29)</f>
        <v>720</v>
      </c>
      <c r="H21" s="83">
        <f>SUM(H23:H29)</f>
        <v>232</v>
      </c>
      <c r="I21" s="83">
        <f>SUM(I23:I29)</f>
        <v>224</v>
      </c>
      <c r="J21" s="83">
        <f>SUM(J23:J28)</f>
        <v>0</v>
      </c>
      <c r="K21" s="83"/>
      <c r="L21" s="83"/>
      <c r="M21" s="83">
        <f>SUM(M23:M29)</f>
        <v>264</v>
      </c>
      <c r="N21" s="83">
        <f>SUM(N23:N28)</f>
        <v>0</v>
      </c>
      <c r="O21" s="83"/>
      <c r="P21" s="83">
        <f>SUM(P23:P29)</f>
        <v>450</v>
      </c>
      <c r="Q21" s="83">
        <f>SUM(Q23:Q29)</f>
        <v>200</v>
      </c>
      <c r="R21" s="83">
        <f>SUM(R23:R28)</f>
        <v>70</v>
      </c>
      <c r="S21" s="83">
        <f>SUM(S23:S29)</f>
        <v>0</v>
      </c>
      <c r="T21" s="83">
        <f>SUM(T23:T29)</f>
        <v>0</v>
      </c>
      <c r="U21" s="83">
        <f>SUM(U23:U29)</f>
        <v>0</v>
      </c>
      <c r="V21" s="194"/>
      <c r="X21" s="91"/>
    </row>
    <row r="22" spans="1:24" s="278" customFormat="1" ht="62.25" customHeight="1" outlineLevel="2" x14ac:dyDescent="0.25">
      <c r="A22" s="274"/>
      <c r="B22" s="382" t="s">
        <v>296</v>
      </c>
      <c r="C22" s="382"/>
      <c r="D22" s="382"/>
      <c r="E22" s="382"/>
      <c r="F22" s="382"/>
      <c r="G22" s="382"/>
      <c r="H22" s="382"/>
      <c r="I22" s="382"/>
      <c r="J22" s="382"/>
      <c r="K22" s="382"/>
      <c r="L22" s="382"/>
      <c r="M22" s="382"/>
      <c r="N22" s="382"/>
      <c r="O22" s="382"/>
      <c r="P22" s="382"/>
      <c r="Q22" s="382"/>
      <c r="R22" s="382"/>
      <c r="S22" s="382"/>
      <c r="T22" s="382"/>
      <c r="U22" s="382"/>
      <c r="V22" s="275"/>
      <c r="X22" s="276"/>
    </row>
    <row r="23" spans="1:24" s="278" customFormat="1" ht="14.25" customHeight="1" outlineLevel="2" x14ac:dyDescent="0.25">
      <c r="A23" s="33" t="s">
        <v>159</v>
      </c>
      <c r="B23" s="156" t="s">
        <v>89</v>
      </c>
      <c r="C23" s="35"/>
      <c r="D23" s="35">
        <v>3</v>
      </c>
      <c r="E23" s="35"/>
      <c r="F23" s="35">
        <f>G23/24</f>
        <v>1.5</v>
      </c>
      <c r="G23" s="138">
        <v>36</v>
      </c>
      <c r="H23" s="36"/>
      <c r="I23" s="36"/>
      <c r="J23" s="36"/>
      <c r="K23" s="36"/>
      <c r="L23" s="36"/>
      <c r="M23" s="38">
        <v>36</v>
      </c>
      <c r="N23" s="38"/>
      <c r="O23" s="38"/>
      <c r="P23" s="38">
        <v>36</v>
      </c>
      <c r="Q23" s="35"/>
      <c r="R23" s="35"/>
      <c r="S23" s="35"/>
      <c r="T23" s="65"/>
      <c r="U23" s="35"/>
      <c r="V23" s="275"/>
      <c r="X23" s="276"/>
    </row>
    <row r="24" spans="1:24" s="278" customFormat="1" ht="14.25" customHeight="1" outlineLevel="2" x14ac:dyDescent="0.25">
      <c r="A24" s="33" t="s">
        <v>204</v>
      </c>
      <c r="B24" s="156" t="s">
        <v>92</v>
      </c>
      <c r="C24" s="35">
        <v>3</v>
      </c>
      <c r="D24" s="35">
        <v>3</v>
      </c>
      <c r="E24" s="35">
        <v>1</v>
      </c>
      <c r="F24" s="35">
        <f>G24/24</f>
        <v>4.5</v>
      </c>
      <c r="G24" s="157">
        <v>108</v>
      </c>
      <c r="H24" s="35">
        <v>72</v>
      </c>
      <c r="I24" s="35">
        <v>36</v>
      </c>
      <c r="J24" s="35"/>
      <c r="K24" s="35"/>
      <c r="L24" s="35"/>
      <c r="M24" s="157"/>
      <c r="N24" s="35"/>
      <c r="O24" s="35"/>
      <c r="P24" s="35">
        <v>108</v>
      </c>
      <c r="Q24" s="35"/>
      <c r="R24" s="35"/>
      <c r="S24" s="35"/>
      <c r="T24" s="65"/>
      <c r="U24" s="35"/>
      <c r="V24" s="275"/>
      <c r="X24" s="276"/>
    </row>
    <row r="25" spans="1:24" s="278" customFormat="1" ht="14.25" customHeight="1" outlineLevel="2" x14ac:dyDescent="0.25">
      <c r="A25" s="33" t="s">
        <v>205</v>
      </c>
      <c r="B25" s="156" t="s">
        <v>93</v>
      </c>
      <c r="C25" s="35"/>
      <c r="D25" s="35">
        <v>3</v>
      </c>
      <c r="E25" s="35">
        <v>1</v>
      </c>
      <c r="F25" s="35">
        <f t="shared" ref="F25" si="10">G25/24</f>
        <v>2</v>
      </c>
      <c r="G25" s="157">
        <v>48</v>
      </c>
      <c r="H25" s="35">
        <v>16</v>
      </c>
      <c r="I25" s="35">
        <v>32</v>
      </c>
      <c r="J25" s="35"/>
      <c r="K25" s="35"/>
      <c r="L25" s="35"/>
      <c r="M25" s="157"/>
      <c r="N25" s="35"/>
      <c r="O25" s="35"/>
      <c r="P25" s="35">
        <v>48</v>
      </c>
      <c r="Q25" s="35"/>
      <c r="R25" s="35"/>
      <c r="S25" s="35"/>
      <c r="T25" s="65"/>
      <c r="U25" s="35"/>
      <c r="V25" s="275"/>
      <c r="X25" s="276"/>
    </row>
    <row r="26" spans="1:24" s="278" customFormat="1" ht="14.25" customHeight="1" outlineLevel="2" x14ac:dyDescent="0.25">
      <c r="A26" s="33" t="s">
        <v>206</v>
      </c>
      <c r="B26" s="156" t="s">
        <v>94</v>
      </c>
      <c r="C26" s="35"/>
      <c r="D26" s="35">
        <v>3</v>
      </c>
      <c r="E26" s="35">
        <v>1</v>
      </c>
      <c r="F26" s="35">
        <f>G26/24</f>
        <v>2</v>
      </c>
      <c r="G26" s="157">
        <v>48</v>
      </c>
      <c r="H26" s="35">
        <v>16</v>
      </c>
      <c r="I26" s="35">
        <v>32</v>
      </c>
      <c r="J26" s="35"/>
      <c r="K26" s="35"/>
      <c r="L26" s="35"/>
      <c r="M26" s="157"/>
      <c r="N26" s="35"/>
      <c r="O26" s="35"/>
      <c r="P26" s="35"/>
      <c r="Q26" s="35">
        <v>48</v>
      </c>
      <c r="R26" s="35"/>
      <c r="S26" s="35"/>
      <c r="T26" s="65"/>
      <c r="U26" s="35"/>
      <c r="V26" s="275"/>
      <c r="X26" s="276"/>
    </row>
    <row r="27" spans="1:24" s="278" customFormat="1" ht="23.25" customHeight="1" outlineLevel="2" x14ac:dyDescent="0.25">
      <c r="A27" s="33" t="s">
        <v>207</v>
      </c>
      <c r="B27" s="156" t="s">
        <v>62</v>
      </c>
      <c r="C27" s="35"/>
      <c r="D27" s="35">
        <v>3</v>
      </c>
      <c r="E27" s="35">
        <v>1</v>
      </c>
      <c r="F27" s="35">
        <f t="shared" ref="F27:F29" si="11">G27/24</f>
        <v>4</v>
      </c>
      <c r="G27" s="138">
        <v>96</v>
      </c>
      <c r="H27" s="36">
        <v>28</v>
      </c>
      <c r="I27" s="35">
        <f>$G27-$H27-$M27</f>
        <v>20</v>
      </c>
      <c r="J27" s="36"/>
      <c r="K27" s="36"/>
      <c r="L27" s="36"/>
      <c r="M27" s="36">
        <v>48</v>
      </c>
      <c r="N27" s="36"/>
      <c r="O27" s="36"/>
      <c r="P27" s="38">
        <v>96</v>
      </c>
      <c r="Q27" s="38"/>
      <c r="R27" s="38"/>
      <c r="S27" s="35"/>
      <c r="T27" s="65"/>
      <c r="U27" s="35"/>
      <c r="V27" s="275"/>
      <c r="X27" s="276"/>
    </row>
    <row r="28" spans="1:24" s="278" customFormat="1" ht="23.25" customHeight="1" outlineLevel="2" x14ac:dyDescent="0.25">
      <c r="A28" s="33" t="s">
        <v>208</v>
      </c>
      <c r="B28" s="156" t="s">
        <v>65</v>
      </c>
      <c r="C28" s="35">
        <v>4</v>
      </c>
      <c r="D28" s="35">
        <v>3</v>
      </c>
      <c r="E28" s="35">
        <v>2</v>
      </c>
      <c r="F28" s="35">
        <f t="shared" si="11"/>
        <v>8</v>
      </c>
      <c r="G28" s="138">
        <v>192</v>
      </c>
      <c r="H28" s="36">
        <v>50</v>
      </c>
      <c r="I28" s="35">
        <f>$G28-$H28-$M28</f>
        <v>34</v>
      </c>
      <c r="J28" s="36"/>
      <c r="K28" s="36"/>
      <c r="L28" s="36"/>
      <c r="M28" s="36">
        <v>108</v>
      </c>
      <c r="N28" s="36"/>
      <c r="O28" s="36"/>
      <c r="P28" s="38">
        <v>80</v>
      </c>
      <c r="Q28" s="38">
        <v>42</v>
      </c>
      <c r="R28" s="38">
        <v>70</v>
      </c>
      <c r="S28" s="35"/>
      <c r="T28" s="65"/>
      <c r="U28" s="35"/>
      <c r="V28" s="275"/>
      <c r="X28" s="276"/>
    </row>
    <row r="29" spans="1:24" s="278" customFormat="1" ht="23.25" customHeight="1" outlineLevel="2" x14ac:dyDescent="0.25">
      <c r="A29" s="35" t="s">
        <v>248</v>
      </c>
      <c r="B29" s="156" t="s">
        <v>102</v>
      </c>
      <c r="C29" s="35"/>
      <c r="D29" s="35">
        <v>3.4</v>
      </c>
      <c r="E29" s="35">
        <v>2</v>
      </c>
      <c r="F29" s="35">
        <f t="shared" si="11"/>
        <v>8</v>
      </c>
      <c r="G29" s="138">
        <v>192</v>
      </c>
      <c r="H29" s="36">
        <v>50</v>
      </c>
      <c r="I29" s="35">
        <v>70</v>
      </c>
      <c r="J29" s="36"/>
      <c r="K29" s="36"/>
      <c r="L29" s="36"/>
      <c r="M29" s="36">
        <v>72</v>
      </c>
      <c r="N29" s="36"/>
      <c r="O29" s="36"/>
      <c r="P29" s="38">
        <v>82</v>
      </c>
      <c r="Q29" s="38">
        <v>110</v>
      </c>
      <c r="R29" s="38"/>
      <c r="S29" s="35"/>
      <c r="T29" s="65"/>
      <c r="U29" s="35"/>
      <c r="V29" s="275"/>
      <c r="X29" s="276"/>
    </row>
    <row r="30" spans="1:24" s="84" customFormat="1" ht="57.75" customHeight="1" outlineLevel="2" x14ac:dyDescent="0.25">
      <c r="A30" s="54" t="s">
        <v>161</v>
      </c>
      <c r="B30" s="58" t="s">
        <v>104</v>
      </c>
      <c r="C30" s="252">
        <f ca="1">COUNT(C23:C33)</f>
        <v>0</v>
      </c>
      <c r="D30" s="252">
        <f ca="1">COUNT(D23:D33)</f>
        <v>3</v>
      </c>
      <c r="E30" s="252">
        <f ca="1">COUNT(E23:E33)</f>
        <v>2</v>
      </c>
      <c r="F30" s="83">
        <v>17</v>
      </c>
      <c r="G30" s="60">
        <f>SUM(G32:G33)</f>
        <v>408</v>
      </c>
      <c r="H30" s="83">
        <f ca="1">SUM(H23:H33)</f>
        <v>84</v>
      </c>
      <c r="I30" s="83">
        <f ca="1">SUM(I23:I33)</f>
        <v>78</v>
      </c>
      <c r="J30" s="83">
        <f ca="1">SUM(J23:J33)</f>
        <v>30</v>
      </c>
      <c r="K30" s="83"/>
      <c r="L30" s="83"/>
      <c r="M30" s="83">
        <f ca="1">SUM(M23:M33)</f>
        <v>252</v>
      </c>
      <c r="N30" s="83">
        <f ca="1">SUM(N23:N33)</f>
        <v>0</v>
      </c>
      <c r="O30" s="83"/>
      <c r="P30" s="83">
        <f ca="1">SUM(P23:P33)</f>
        <v>36</v>
      </c>
      <c r="Q30" s="83">
        <f>SUM(Q32:Q33)</f>
        <v>184</v>
      </c>
      <c r="R30" s="83">
        <f>SUM(R32:R33)</f>
        <v>224</v>
      </c>
      <c r="S30" s="83">
        <f>SUM(S32:S33)</f>
        <v>0</v>
      </c>
      <c r="T30" s="83">
        <f>SUM(T32:T33)</f>
        <v>0</v>
      </c>
      <c r="U30" s="83">
        <f>SUM(U32:U33)</f>
        <v>0</v>
      </c>
      <c r="V30" s="194"/>
      <c r="X30" s="91"/>
    </row>
    <row r="31" spans="1:24" s="278" customFormat="1" ht="48.75" customHeight="1" outlineLevel="2" x14ac:dyDescent="0.25">
      <c r="A31" s="274"/>
      <c r="B31" s="382" t="s">
        <v>144</v>
      </c>
      <c r="C31" s="382"/>
      <c r="D31" s="382"/>
      <c r="E31" s="382"/>
      <c r="F31" s="382"/>
      <c r="G31" s="382"/>
      <c r="H31" s="382"/>
      <c r="I31" s="382"/>
      <c r="J31" s="382"/>
      <c r="K31" s="382"/>
      <c r="L31" s="382"/>
      <c r="M31" s="382"/>
      <c r="N31" s="382"/>
      <c r="O31" s="382"/>
      <c r="P31" s="382"/>
      <c r="Q31" s="382"/>
      <c r="R31" s="382"/>
      <c r="S31" s="382"/>
      <c r="T31" s="382"/>
      <c r="U31" s="382"/>
      <c r="V31" s="275"/>
      <c r="X31" s="276"/>
    </row>
    <row r="32" spans="1:24" s="278" customFormat="1" ht="15" customHeight="1" outlineLevel="2" x14ac:dyDescent="0.25">
      <c r="A32" s="33" t="s">
        <v>247</v>
      </c>
      <c r="B32" s="156" t="s">
        <v>78</v>
      </c>
      <c r="C32" s="35">
        <v>5</v>
      </c>
      <c r="D32" s="35">
        <v>5</v>
      </c>
      <c r="E32" s="35">
        <v>2</v>
      </c>
      <c r="F32" s="35">
        <f>G32/24</f>
        <v>12</v>
      </c>
      <c r="G32" s="138">
        <v>288</v>
      </c>
      <c r="H32" s="36">
        <v>64</v>
      </c>
      <c r="I32" s="35">
        <f>$G32-$H32-$M32-J32</f>
        <v>50</v>
      </c>
      <c r="J32" s="36">
        <v>30</v>
      </c>
      <c r="K32" s="36"/>
      <c r="L32" s="36"/>
      <c r="M32" s="36">
        <v>144</v>
      </c>
      <c r="N32" s="36"/>
      <c r="O32" s="36"/>
      <c r="P32" s="38"/>
      <c r="Q32" s="38">
        <v>64</v>
      </c>
      <c r="R32" s="38">
        <v>224</v>
      </c>
      <c r="S32" s="35"/>
      <c r="T32" s="65"/>
      <c r="U32" s="35"/>
      <c r="V32" s="275"/>
      <c r="X32" s="276"/>
    </row>
    <row r="33" spans="1:24" s="278" customFormat="1" ht="15" customHeight="1" outlineLevel="2" x14ac:dyDescent="0.25">
      <c r="A33" s="33" t="s">
        <v>160</v>
      </c>
      <c r="B33" s="156" t="s">
        <v>95</v>
      </c>
      <c r="C33" s="35"/>
      <c r="D33" s="35">
        <v>4</v>
      </c>
      <c r="E33" s="35">
        <v>2</v>
      </c>
      <c r="F33" s="35">
        <f t="shared" ref="F33:F55" si="12">G33/24</f>
        <v>5</v>
      </c>
      <c r="G33" s="138">
        <v>120</v>
      </c>
      <c r="H33" s="36">
        <v>20</v>
      </c>
      <c r="I33" s="35">
        <f>$G33-$H33-$M33</f>
        <v>28</v>
      </c>
      <c r="J33" s="36"/>
      <c r="K33" s="36"/>
      <c r="L33" s="36"/>
      <c r="M33" s="36">
        <v>72</v>
      </c>
      <c r="N33" s="36"/>
      <c r="O33" s="36"/>
      <c r="P33" s="38"/>
      <c r="Q33" s="38">
        <v>120</v>
      </c>
      <c r="R33" s="38"/>
      <c r="S33" s="35"/>
      <c r="T33" s="65"/>
      <c r="U33" s="35"/>
      <c r="V33" s="275"/>
      <c r="X33" s="276"/>
    </row>
    <row r="34" spans="1:24" s="84" customFormat="1" ht="39.6" outlineLevel="2" x14ac:dyDescent="0.25">
      <c r="A34" s="54" t="s">
        <v>162</v>
      </c>
      <c r="B34" s="58" t="s">
        <v>163</v>
      </c>
      <c r="C34" s="252">
        <f>COUNT(C37)</f>
        <v>0</v>
      </c>
      <c r="D34" s="252">
        <f>COUNT(D37)</f>
        <v>1</v>
      </c>
      <c r="E34" s="252">
        <f>COUNT(E37)</f>
        <v>1</v>
      </c>
      <c r="F34" s="88">
        <f>SUM(F36:F38)</f>
        <v>13</v>
      </c>
      <c r="G34" s="88">
        <f>SUM(G36:G38)</f>
        <v>312</v>
      </c>
      <c r="H34" s="88">
        <f t="shared" ref="H34:I34" si="13">SUM(H36:H38)</f>
        <v>48</v>
      </c>
      <c r="I34" s="88">
        <f t="shared" si="13"/>
        <v>72</v>
      </c>
      <c r="J34" s="88">
        <f>SUM(J37)</f>
        <v>0</v>
      </c>
      <c r="K34" s="88"/>
      <c r="L34" s="88"/>
      <c r="M34" s="88">
        <f>SUM(M36:M39)</f>
        <v>192</v>
      </c>
      <c r="N34" s="88">
        <f t="shared" ref="N34" si="14">SUM(N36:N39)</f>
        <v>0</v>
      </c>
      <c r="O34" s="88"/>
      <c r="P34" s="203">
        <f>SUM(P36:P38)</f>
        <v>186</v>
      </c>
      <c r="Q34" s="203">
        <f t="shared" ref="Q34:U34" si="15">SUM(Q36:Q38)</f>
        <v>126</v>
      </c>
      <c r="R34" s="88">
        <f t="shared" si="15"/>
        <v>0</v>
      </c>
      <c r="S34" s="88">
        <f t="shared" si="15"/>
        <v>0</v>
      </c>
      <c r="T34" s="88">
        <f t="shared" si="15"/>
        <v>0</v>
      </c>
      <c r="U34" s="88">
        <f t="shared" si="15"/>
        <v>0</v>
      </c>
      <c r="V34" s="194"/>
      <c r="X34" s="91"/>
    </row>
    <row r="35" spans="1:24" s="278" customFormat="1" ht="30" customHeight="1" outlineLevel="2" x14ac:dyDescent="0.25">
      <c r="A35" s="274"/>
      <c r="B35" s="382" t="s">
        <v>164</v>
      </c>
      <c r="C35" s="382"/>
      <c r="D35" s="382"/>
      <c r="E35" s="382"/>
      <c r="F35" s="382"/>
      <c r="G35" s="382"/>
      <c r="H35" s="382"/>
      <c r="I35" s="382"/>
      <c r="J35" s="382"/>
      <c r="K35" s="382"/>
      <c r="L35" s="382"/>
      <c r="M35" s="382"/>
      <c r="N35" s="382"/>
      <c r="O35" s="382"/>
      <c r="P35" s="382"/>
      <c r="Q35" s="382"/>
      <c r="R35" s="382"/>
      <c r="S35" s="382"/>
      <c r="T35" s="382"/>
      <c r="U35" s="382"/>
      <c r="V35" s="275"/>
      <c r="X35" s="276"/>
    </row>
    <row r="36" spans="1:24" s="278" customFormat="1" ht="15" customHeight="1" outlineLevel="2" x14ac:dyDescent="0.25">
      <c r="A36" s="277" t="s">
        <v>165</v>
      </c>
      <c r="B36" s="156" t="s">
        <v>290</v>
      </c>
      <c r="C36" s="169">
        <v>4</v>
      </c>
      <c r="D36" s="168"/>
      <c r="E36" s="168"/>
      <c r="F36" s="169">
        <f>G36/24</f>
        <v>6</v>
      </c>
      <c r="G36" s="138">
        <v>144</v>
      </c>
      <c r="H36" s="170"/>
      <c r="I36" s="170"/>
      <c r="J36" s="170"/>
      <c r="K36" s="170"/>
      <c r="L36" s="170"/>
      <c r="M36" s="170">
        <v>144</v>
      </c>
      <c r="N36" s="170"/>
      <c r="O36" s="170"/>
      <c r="P36" s="36">
        <v>144</v>
      </c>
      <c r="Q36" s="36"/>
      <c r="R36" s="170"/>
      <c r="S36" s="170"/>
      <c r="T36" s="116"/>
      <c r="U36" s="171"/>
      <c r="V36" s="275"/>
      <c r="X36" s="276"/>
    </row>
    <row r="37" spans="1:24" s="278" customFormat="1" ht="15" customHeight="1" outlineLevel="2" x14ac:dyDescent="0.25">
      <c r="A37" s="169" t="s">
        <v>166</v>
      </c>
      <c r="B37" s="283" t="s">
        <v>121</v>
      </c>
      <c r="C37" s="284"/>
      <c r="D37" s="161">
        <v>5</v>
      </c>
      <c r="E37" s="161">
        <v>1</v>
      </c>
      <c r="F37" s="162">
        <f>G37/24</f>
        <v>3</v>
      </c>
      <c r="G37" s="163">
        <v>72</v>
      </c>
      <c r="H37" s="164">
        <v>32</v>
      </c>
      <c r="I37" s="35">
        <f>$G37-$H37-$M37</f>
        <v>40</v>
      </c>
      <c r="J37" s="164"/>
      <c r="K37" s="164"/>
      <c r="L37" s="164"/>
      <c r="M37" s="164"/>
      <c r="N37" s="164"/>
      <c r="O37" s="164"/>
      <c r="P37" s="164"/>
      <c r="Q37" s="164">
        <v>72</v>
      </c>
      <c r="R37" s="164"/>
      <c r="S37" s="164"/>
      <c r="T37" s="164"/>
      <c r="U37" s="164"/>
      <c r="V37" s="275"/>
      <c r="X37" s="276"/>
    </row>
    <row r="38" spans="1:24" s="278" customFormat="1" ht="15" customHeight="1" outlineLevel="2" x14ac:dyDescent="0.25">
      <c r="A38" s="277" t="s">
        <v>167</v>
      </c>
      <c r="B38" s="156" t="s">
        <v>120</v>
      </c>
      <c r="C38" s="35"/>
      <c r="D38" s="35">
        <v>6</v>
      </c>
      <c r="E38" s="35">
        <v>1</v>
      </c>
      <c r="F38" s="35">
        <v>4</v>
      </c>
      <c r="G38" s="138">
        <v>96</v>
      </c>
      <c r="H38" s="36">
        <v>16</v>
      </c>
      <c r="I38" s="35">
        <f>$G38-$H38-$M38</f>
        <v>32</v>
      </c>
      <c r="J38" s="36"/>
      <c r="K38" s="36"/>
      <c r="L38" s="36"/>
      <c r="M38" s="36">
        <v>48</v>
      </c>
      <c r="N38" s="36"/>
      <c r="O38" s="36"/>
      <c r="P38" s="38">
        <v>42</v>
      </c>
      <c r="Q38" s="38">
        <v>54</v>
      </c>
      <c r="R38" s="38"/>
      <c r="S38" s="35"/>
      <c r="T38" s="35"/>
      <c r="U38" s="35"/>
      <c r="V38" s="275"/>
      <c r="X38" s="276"/>
    </row>
    <row r="39" spans="1:24" s="278" customFormat="1" outlineLevel="2" x14ac:dyDescent="0.25">
      <c r="A39" s="285" t="s">
        <v>240</v>
      </c>
      <c r="B39" s="286" t="s">
        <v>27</v>
      </c>
      <c r="C39" s="284"/>
      <c r="D39" s="161"/>
      <c r="E39" s="161"/>
      <c r="F39" s="162">
        <v>3</v>
      </c>
      <c r="G39" s="163">
        <v>72</v>
      </c>
      <c r="H39" s="164">
        <v>72</v>
      </c>
      <c r="I39" s="35"/>
      <c r="J39" s="164"/>
      <c r="K39" s="164"/>
      <c r="L39" s="164"/>
      <c r="M39" s="164"/>
      <c r="N39" s="164"/>
      <c r="O39" s="164"/>
      <c r="P39" s="164">
        <v>36</v>
      </c>
      <c r="Q39" s="164">
        <v>36</v>
      </c>
      <c r="R39" s="164"/>
      <c r="S39" s="164"/>
      <c r="T39" s="164"/>
      <c r="U39" s="164"/>
      <c r="V39" s="275"/>
      <c r="X39" s="276"/>
    </row>
    <row r="40" spans="1:24" s="80" customFormat="1" outlineLevel="2" x14ac:dyDescent="0.25">
      <c r="A40" s="210"/>
      <c r="B40" s="211" t="s">
        <v>291</v>
      </c>
      <c r="C40" s="287">
        <f ca="1">SUM(C8+C11+C14+C21+C30+C34)</f>
        <v>3</v>
      </c>
      <c r="D40" s="287">
        <f ca="1">SUM(D8+D11+D14+D21+D30+D34)</f>
        <v>16</v>
      </c>
      <c r="E40" s="287">
        <f ca="1">SUM(E8+E11+E14+E21+E30+E34)</f>
        <v>14</v>
      </c>
      <c r="F40" s="287">
        <f>SUM(F8+F11+F14+F21+F30+F34+F39)</f>
        <v>83.5</v>
      </c>
      <c r="G40" s="287">
        <f>SUM(G8+G11+G14+G21+G30+G34)-R40-S40-T40-U40+72</f>
        <v>1440</v>
      </c>
      <c r="H40" s="287">
        <f ca="1">SUM(H8+H11+H14+H21+H30+H34)</f>
        <v>438</v>
      </c>
      <c r="I40" s="287">
        <f ca="1">SUM(I8+I11+I14+I21+I30+I34)</f>
        <v>828</v>
      </c>
      <c r="J40" s="287">
        <f ca="1">SUM(J8+J11+J14+J21+J30+J34)</f>
        <v>30</v>
      </c>
      <c r="K40" s="287"/>
      <c r="L40" s="287"/>
      <c r="M40" s="287">
        <f ca="1">SUM(M8+M11+M14+M21+M30+M34)</f>
        <v>636</v>
      </c>
      <c r="N40" s="287">
        <f ca="1">SUM(N8+N11+N14+N21+N30+N34)</f>
        <v>0</v>
      </c>
      <c r="O40" s="287"/>
      <c r="P40" s="133">
        <f t="shared" ref="P40:U40" ca="1" si="16">SUM(P8+P11+P14+P21+P30+P34+P39)</f>
        <v>828</v>
      </c>
      <c r="Q40" s="133">
        <f t="shared" si="16"/>
        <v>612</v>
      </c>
      <c r="R40" s="288">
        <f t="shared" si="16"/>
        <v>414</v>
      </c>
      <c r="S40" s="288">
        <f t="shared" si="16"/>
        <v>48</v>
      </c>
      <c r="T40" s="288">
        <f t="shared" si="16"/>
        <v>102</v>
      </c>
      <c r="U40" s="288">
        <f t="shared" si="16"/>
        <v>0</v>
      </c>
      <c r="V40" s="195"/>
      <c r="W40" s="73"/>
      <c r="X40" s="289"/>
    </row>
    <row r="41" spans="1:24" s="84" customFormat="1" ht="37.5" customHeight="1" outlineLevel="2" x14ac:dyDescent="0.25">
      <c r="A41" s="54" t="s">
        <v>168</v>
      </c>
      <c r="B41" s="58" t="s">
        <v>105</v>
      </c>
      <c r="C41" s="252">
        <f>COUNT(C43:C46)</f>
        <v>1</v>
      </c>
      <c r="D41" s="252">
        <f>COUNT(D43:D46)</f>
        <v>4</v>
      </c>
      <c r="E41" s="252">
        <f t="shared" ref="E41" si="17">COUNT(E43:E46)</f>
        <v>4</v>
      </c>
      <c r="F41" s="83">
        <f t="shared" ref="F41:G41" si="18">SUM(F43:F46)</f>
        <v>18</v>
      </c>
      <c r="G41" s="60">
        <f t="shared" si="18"/>
        <v>432</v>
      </c>
      <c r="H41" s="83">
        <f>SUM(H43:H46)</f>
        <v>88</v>
      </c>
      <c r="I41" s="83">
        <f>SUM(I43:I46)</f>
        <v>116</v>
      </c>
      <c r="J41" s="83">
        <f t="shared" ref="J41:U41" si="19">SUM(J43:J46)</f>
        <v>0</v>
      </c>
      <c r="K41" s="83"/>
      <c r="L41" s="83"/>
      <c r="M41" s="83">
        <f>SUM(M43:M46)</f>
        <v>228</v>
      </c>
      <c r="N41" s="83">
        <f t="shared" si="19"/>
        <v>0</v>
      </c>
      <c r="O41" s="83"/>
      <c r="P41" s="83">
        <f t="shared" si="19"/>
        <v>0</v>
      </c>
      <c r="Q41" s="83">
        <f t="shared" si="19"/>
        <v>0</v>
      </c>
      <c r="R41" s="83">
        <f t="shared" si="19"/>
        <v>222</v>
      </c>
      <c r="S41" s="83">
        <f t="shared" si="19"/>
        <v>210</v>
      </c>
      <c r="T41" s="83">
        <f t="shared" si="19"/>
        <v>0</v>
      </c>
      <c r="U41" s="83">
        <f t="shared" si="19"/>
        <v>0</v>
      </c>
      <c r="V41" s="194"/>
      <c r="X41" s="91"/>
    </row>
    <row r="42" spans="1:24" s="278" customFormat="1" ht="37.5" customHeight="1" outlineLevel="2" x14ac:dyDescent="0.25">
      <c r="A42" s="274"/>
      <c r="B42" s="382" t="s">
        <v>145</v>
      </c>
      <c r="C42" s="382"/>
      <c r="D42" s="382"/>
      <c r="E42" s="382"/>
      <c r="F42" s="382"/>
      <c r="G42" s="382"/>
      <c r="H42" s="382"/>
      <c r="I42" s="382"/>
      <c r="J42" s="382"/>
      <c r="K42" s="382"/>
      <c r="L42" s="382"/>
      <c r="M42" s="382"/>
      <c r="N42" s="382"/>
      <c r="O42" s="382"/>
      <c r="P42" s="382"/>
      <c r="Q42" s="382"/>
      <c r="R42" s="382"/>
      <c r="S42" s="382"/>
      <c r="T42" s="382"/>
      <c r="U42" s="382"/>
      <c r="V42" s="275"/>
      <c r="X42" s="276"/>
    </row>
    <row r="43" spans="1:24" s="278" customFormat="1" ht="13.5" customHeight="1" outlineLevel="2" x14ac:dyDescent="0.25">
      <c r="A43" s="33" t="s">
        <v>169</v>
      </c>
      <c r="B43" s="105" t="s">
        <v>79</v>
      </c>
      <c r="C43" s="35">
        <v>6</v>
      </c>
      <c r="D43" s="35">
        <v>5</v>
      </c>
      <c r="E43" s="35">
        <v>2</v>
      </c>
      <c r="F43" s="35">
        <f t="shared" si="12"/>
        <v>10</v>
      </c>
      <c r="G43" s="138">
        <v>240</v>
      </c>
      <c r="H43" s="36">
        <v>46</v>
      </c>
      <c r="I43" s="35">
        <f t="shared" ref="I43:I51" si="20">$G43-$H43-$M43</f>
        <v>50</v>
      </c>
      <c r="J43" s="36"/>
      <c r="K43" s="36"/>
      <c r="L43" s="36"/>
      <c r="M43" s="36">
        <v>144</v>
      </c>
      <c r="N43" s="36"/>
      <c r="O43" s="36"/>
      <c r="P43" s="38"/>
      <c r="Q43" s="38"/>
      <c r="R43" s="38">
        <v>50</v>
      </c>
      <c r="S43" s="35">
        <v>190</v>
      </c>
      <c r="T43" s="65"/>
      <c r="U43" s="35"/>
      <c r="V43" s="275"/>
      <c r="X43" s="276"/>
    </row>
    <row r="44" spans="1:24" s="278" customFormat="1" ht="13.5" customHeight="1" outlineLevel="2" x14ac:dyDescent="0.25">
      <c r="A44" s="33" t="s">
        <v>170</v>
      </c>
      <c r="B44" s="156" t="s">
        <v>107</v>
      </c>
      <c r="C44" s="35"/>
      <c r="D44" s="35">
        <v>5</v>
      </c>
      <c r="E44" s="35">
        <v>1</v>
      </c>
      <c r="F44" s="35">
        <f t="shared" si="12"/>
        <v>3</v>
      </c>
      <c r="G44" s="138">
        <v>72</v>
      </c>
      <c r="H44" s="36">
        <v>20</v>
      </c>
      <c r="I44" s="35">
        <f t="shared" si="20"/>
        <v>28</v>
      </c>
      <c r="J44" s="36"/>
      <c r="K44" s="36"/>
      <c r="L44" s="36"/>
      <c r="M44" s="36">
        <v>24</v>
      </c>
      <c r="N44" s="36"/>
      <c r="O44" s="36"/>
      <c r="P44" s="38"/>
      <c r="Q44" s="38"/>
      <c r="R44" s="38">
        <v>72</v>
      </c>
      <c r="S44" s="35"/>
      <c r="T44" s="65"/>
      <c r="U44" s="35"/>
      <c r="V44" s="275"/>
      <c r="X44" s="276"/>
    </row>
    <row r="45" spans="1:24" s="278" customFormat="1" ht="13.5" customHeight="1" outlineLevel="2" x14ac:dyDescent="0.25">
      <c r="A45" s="33" t="s">
        <v>171</v>
      </c>
      <c r="B45" s="65" t="s">
        <v>106</v>
      </c>
      <c r="C45" s="35"/>
      <c r="D45" s="35">
        <v>5</v>
      </c>
      <c r="E45" s="35">
        <v>1</v>
      </c>
      <c r="F45" s="35">
        <f t="shared" si="12"/>
        <v>3</v>
      </c>
      <c r="G45" s="138">
        <v>72</v>
      </c>
      <c r="H45" s="36">
        <v>12</v>
      </c>
      <c r="I45" s="35">
        <f t="shared" si="20"/>
        <v>24</v>
      </c>
      <c r="J45" s="36"/>
      <c r="K45" s="36"/>
      <c r="L45" s="36"/>
      <c r="M45" s="36">
        <v>36</v>
      </c>
      <c r="N45" s="36"/>
      <c r="O45" s="36"/>
      <c r="P45" s="38"/>
      <c r="Q45" s="38"/>
      <c r="R45" s="38">
        <v>72</v>
      </c>
      <c r="S45" s="35"/>
      <c r="T45" s="65"/>
      <c r="U45" s="35"/>
      <c r="V45" s="196"/>
      <c r="X45" s="276"/>
    </row>
    <row r="46" spans="1:24" s="278" customFormat="1" ht="13.5" customHeight="1" outlineLevel="2" x14ac:dyDescent="0.25">
      <c r="A46" s="33" t="s">
        <v>172</v>
      </c>
      <c r="B46" s="156" t="s">
        <v>80</v>
      </c>
      <c r="C46" s="35"/>
      <c r="D46" s="35">
        <v>5</v>
      </c>
      <c r="E46" s="35">
        <v>1</v>
      </c>
      <c r="F46" s="35">
        <f t="shared" si="12"/>
        <v>2</v>
      </c>
      <c r="G46" s="138">
        <v>48</v>
      </c>
      <c r="H46" s="36">
        <v>10</v>
      </c>
      <c r="I46" s="35">
        <f t="shared" si="20"/>
        <v>14</v>
      </c>
      <c r="J46" s="36"/>
      <c r="K46" s="36"/>
      <c r="L46" s="36"/>
      <c r="M46" s="36">
        <v>24</v>
      </c>
      <c r="N46" s="36"/>
      <c r="O46" s="36"/>
      <c r="P46" s="38"/>
      <c r="Q46" s="38"/>
      <c r="R46" s="38">
        <v>28</v>
      </c>
      <c r="S46" s="35">
        <v>20</v>
      </c>
      <c r="T46" s="65"/>
      <c r="U46" s="35"/>
      <c r="V46" s="275"/>
      <c r="X46" s="276"/>
    </row>
    <row r="47" spans="1:24" s="84" customFormat="1" ht="26.4" outlineLevel="2" x14ac:dyDescent="0.25">
      <c r="A47" s="54" t="s">
        <v>173</v>
      </c>
      <c r="B47" s="58" t="s">
        <v>141</v>
      </c>
      <c r="C47" s="252">
        <f>COUNT(C49:C51)</f>
        <v>0</v>
      </c>
      <c r="D47" s="252">
        <f t="shared" ref="D47:E47" si="21">COUNT(D49:D51)</f>
        <v>3</v>
      </c>
      <c r="E47" s="252">
        <f t="shared" si="21"/>
        <v>3</v>
      </c>
      <c r="F47" s="83">
        <f>SUM(F49:F51)</f>
        <v>7.5</v>
      </c>
      <c r="G47" s="60">
        <f>SUM(G49:G51)</f>
        <v>180</v>
      </c>
      <c r="H47" s="83">
        <f>SUM(H49:H51)</f>
        <v>36</v>
      </c>
      <c r="I47" s="83">
        <f>SUM(I49:I51)</f>
        <v>72</v>
      </c>
      <c r="J47" s="83">
        <f t="shared" ref="J47:U47" si="22">SUM(J49:J51)</f>
        <v>0</v>
      </c>
      <c r="K47" s="83"/>
      <c r="L47" s="83"/>
      <c r="M47" s="83">
        <f>SUM(M49:M51)</f>
        <v>72</v>
      </c>
      <c r="N47" s="83">
        <f t="shared" si="22"/>
        <v>0</v>
      </c>
      <c r="O47" s="83"/>
      <c r="P47" s="83">
        <f t="shared" si="22"/>
        <v>0</v>
      </c>
      <c r="Q47" s="83">
        <f t="shared" si="22"/>
        <v>0</v>
      </c>
      <c r="R47" s="83">
        <f t="shared" si="22"/>
        <v>156</v>
      </c>
      <c r="S47" s="83">
        <f t="shared" si="22"/>
        <v>24</v>
      </c>
      <c r="T47" s="83">
        <f t="shared" si="22"/>
        <v>0</v>
      </c>
      <c r="U47" s="83">
        <f t="shared" si="22"/>
        <v>0</v>
      </c>
      <c r="V47" s="194"/>
      <c r="X47" s="91"/>
    </row>
    <row r="48" spans="1:24" s="278" customFormat="1" ht="52.5" customHeight="1" outlineLevel="2" x14ac:dyDescent="0.25">
      <c r="A48" s="274"/>
      <c r="B48" s="382" t="s">
        <v>146</v>
      </c>
      <c r="C48" s="382"/>
      <c r="D48" s="382"/>
      <c r="E48" s="382"/>
      <c r="F48" s="382"/>
      <c r="G48" s="382"/>
      <c r="H48" s="382"/>
      <c r="I48" s="382"/>
      <c r="J48" s="382"/>
      <c r="K48" s="382"/>
      <c r="L48" s="382"/>
      <c r="M48" s="382"/>
      <c r="N48" s="382"/>
      <c r="O48" s="382"/>
      <c r="P48" s="382"/>
      <c r="Q48" s="382"/>
      <c r="R48" s="382"/>
      <c r="S48" s="382"/>
      <c r="T48" s="382"/>
      <c r="U48" s="382"/>
      <c r="V48" s="275"/>
      <c r="X48" s="276"/>
    </row>
    <row r="49" spans="1:24" s="278" customFormat="1" outlineLevel="2" x14ac:dyDescent="0.25">
      <c r="A49" s="33" t="s">
        <v>174</v>
      </c>
      <c r="B49" s="65" t="s">
        <v>106</v>
      </c>
      <c r="C49" s="169"/>
      <c r="D49" s="169">
        <v>5</v>
      </c>
      <c r="E49" s="169">
        <v>1</v>
      </c>
      <c r="F49" s="35">
        <f t="shared" si="12"/>
        <v>4.5</v>
      </c>
      <c r="G49" s="138">
        <v>108</v>
      </c>
      <c r="H49" s="170">
        <v>20</v>
      </c>
      <c r="I49" s="35">
        <f t="shared" si="20"/>
        <v>40</v>
      </c>
      <c r="J49" s="170"/>
      <c r="K49" s="170"/>
      <c r="L49" s="170"/>
      <c r="M49" s="170">
        <v>48</v>
      </c>
      <c r="N49" s="170"/>
      <c r="O49" s="170"/>
      <c r="P49" s="36"/>
      <c r="Q49" s="36"/>
      <c r="R49" s="170">
        <v>108</v>
      </c>
      <c r="S49" s="171"/>
      <c r="T49" s="171"/>
      <c r="U49" s="171"/>
      <c r="V49" s="275"/>
      <c r="X49" s="276"/>
    </row>
    <row r="50" spans="1:24" s="278" customFormat="1" outlineLevel="2" x14ac:dyDescent="0.25">
      <c r="A50" s="33" t="s">
        <v>175</v>
      </c>
      <c r="B50" s="35" t="s">
        <v>108</v>
      </c>
      <c r="C50" s="168"/>
      <c r="D50" s="169">
        <v>5</v>
      </c>
      <c r="E50" s="169">
        <v>1</v>
      </c>
      <c r="F50" s="169">
        <f t="shared" si="12"/>
        <v>1</v>
      </c>
      <c r="G50" s="138">
        <v>24</v>
      </c>
      <c r="H50" s="170">
        <v>8</v>
      </c>
      <c r="I50" s="35">
        <f t="shared" si="20"/>
        <v>16</v>
      </c>
      <c r="J50" s="171"/>
      <c r="K50" s="171"/>
      <c r="L50" s="171"/>
      <c r="M50" s="171"/>
      <c r="N50" s="171"/>
      <c r="O50" s="171"/>
      <c r="P50" s="171"/>
      <c r="Q50" s="171"/>
      <c r="R50" s="170"/>
      <c r="S50" s="170">
        <v>24</v>
      </c>
      <c r="T50" s="116"/>
      <c r="U50" s="171"/>
      <c r="V50" s="275"/>
      <c r="X50" s="276"/>
    </row>
    <row r="51" spans="1:24" s="278" customFormat="1" outlineLevel="2" x14ac:dyDescent="0.25">
      <c r="A51" s="33" t="s">
        <v>176</v>
      </c>
      <c r="B51" s="35" t="s">
        <v>109</v>
      </c>
      <c r="C51" s="35"/>
      <c r="D51" s="35">
        <v>5</v>
      </c>
      <c r="E51" s="169">
        <v>1</v>
      </c>
      <c r="F51" s="169">
        <f t="shared" si="12"/>
        <v>2</v>
      </c>
      <c r="G51" s="138">
        <v>48</v>
      </c>
      <c r="H51" s="36">
        <v>8</v>
      </c>
      <c r="I51" s="35">
        <f t="shared" si="20"/>
        <v>16</v>
      </c>
      <c r="J51" s="36"/>
      <c r="K51" s="36"/>
      <c r="L51" s="36"/>
      <c r="M51" s="36">
        <v>24</v>
      </c>
      <c r="N51" s="36"/>
      <c r="O51" s="36"/>
      <c r="P51" s="38"/>
      <c r="Q51" s="38"/>
      <c r="R51" s="38">
        <v>48</v>
      </c>
      <c r="S51" s="35"/>
      <c r="T51" s="65"/>
      <c r="U51" s="35"/>
      <c r="V51" s="275"/>
      <c r="X51" s="276"/>
    </row>
    <row r="52" spans="1:24" s="84" customFormat="1" outlineLevel="2" x14ac:dyDescent="0.25">
      <c r="A52" s="54" t="s">
        <v>177</v>
      </c>
      <c r="B52" s="58" t="s">
        <v>110</v>
      </c>
      <c r="C52" s="252">
        <f>COUNT(C54:C60)</f>
        <v>1</v>
      </c>
      <c r="D52" s="252">
        <f>COUNT(D54:D60)</f>
        <v>7</v>
      </c>
      <c r="E52" s="252">
        <f>COUNT(E54:E60)</f>
        <v>6</v>
      </c>
      <c r="F52" s="83">
        <f t="shared" ref="F52:U52" si="23">SUM(F54:F60)</f>
        <v>25</v>
      </c>
      <c r="G52" s="60">
        <f t="shared" si="23"/>
        <v>600</v>
      </c>
      <c r="H52" s="83">
        <f t="shared" si="23"/>
        <v>96</v>
      </c>
      <c r="I52" s="83">
        <f t="shared" si="23"/>
        <v>192</v>
      </c>
      <c r="J52" s="83">
        <f t="shared" si="23"/>
        <v>0</v>
      </c>
      <c r="K52" s="83"/>
      <c r="L52" s="83"/>
      <c r="M52" s="83">
        <f t="shared" si="23"/>
        <v>96</v>
      </c>
      <c r="N52" s="83">
        <f t="shared" si="23"/>
        <v>216</v>
      </c>
      <c r="O52" s="83"/>
      <c r="P52" s="83">
        <f t="shared" si="23"/>
        <v>0</v>
      </c>
      <c r="Q52" s="83">
        <f t="shared" si="23"/>
        <v>0</v>
      </c>
      <c r="R52" s="83">
        <f t="shared" si="23"/>
        <v>0</v>
      </c>
      <c r="S52" s="83">
        <f t="shared" si="23"/>
        <v>150</v>
      </c>
      <c r="T52" s="83">
        <f t="shared" si="23"/>
        <v>234</v>
      </c>
      <c r="U52" s="83">
        <f t="shared" si="23"/>
        <v>216</v>
      </c>
      <c r="V52" s="194"/>
      <c r="X52" s="91"/>
    </row>
    <row r="53" spans="1:24" s="278" customFormat="1" ht="38.25" customHeight="1" outlineLevel="2" x14ac:dyDescent="0.25">
      <c r="A53" s="274"/>
      <c r="B53" s="382" t="s">
        <v>147</v>
      </c>
      <c r="C53" s="382"/>
      <c r="D53" s="382"/>
      <c r="E53" s="382"/>
      <c r="F53" s="382"/>
      <c r="G53" s="382"/>
      <c r="H53" s="382"/>
      <c r="I53" s="382"/>
      <c r="J53" s="382"/>
      <c r="K53" s="382"/>
      <c r="L53" s="382"/>
      <c r="M53" s="382"/>
      <c r="N53" s="382"/>
      <c r="O53" s="382"/>
      <c r="P53" s="382"/>
      <c r="Q53" s="382"/>
      <c r="R53" s="382"/>
      <c r="S53" s="382"/>
      <c r="T53" s="382"/>
      <c r="U53" s="382"/>
      <c r="V53" s="275"/>
      <c r="X53" s="276"/>
    </row>
    <row r="54" spans="1:24" s="278" customFormat="1" ht="15" customHeight="1" outlineLevel="2" x14ac:dyDescent="0.25">
      <c r="A54" s="277" t="s">
        <v>178</v>
      </c>
      <c r="B54" s="35" t="s">
        <v>111</v>
      </c>
      <c r="C54" s="169"/>
      <c r="D54" s="169">
        <v>6</v>
      </c>
      <c r="E54" s="169">
        <v>1</v>
      </c>
      <c r="F54" s="169">
        <f t="shared" ref="F54" si="24">G54/24</f>
        <v>3</v>
      </c>
      <c r="G54" s="138">
        <v>72</v>
      </c>
      <c r="H54" s="36">
        <v>24</v>
      </c>
      <c r="I54" s="35">
        <v>24</v>
      </c>
      <c r="J54" s="36"/>
      <c r="K54" s="36"/>
      <c r="L54" s="36"/>
      <c r="M54" s="36">
        <v>24</v>
      </c>
      <c r="N54" s="171"/>
      <c r="O54" s="171"/>
      <c r="P54" s="171"/>
      <c r="Q54" s="171"/>
      <c r="R54" s="171"/>
      <c r="S54" s="170">
        <v>72</v>
      </c>
      <c r="T54" s="115"/>
      <c r="U54" s="171"/>
      <c r="V54" s="275"/>
      <c r="X54" s="276"/>
    </row>
    <row r="55" spans="1:24" s="278" customFormat="1" ht="15" customHeight="1" outlineLevel="2" x14ac:dyDescent="0.25">
      <c r="A55" s="277" t="s">
        <v>179</v>
      </c>
      <c r="B55" s="156" t="s">
        <v>292</v>
      </c>
      <c r="C55" s="169"/>
      <c r="D55" s="169">
        <v>6</v>
      </c>
      <c r="E55" s="169">
        <v>1</v>
      </c>
      <c r="F55" s="169">
        <f t="shared" si="12"/>
        <v>3</v>
      </c>
      <c r="G55" s="138">
        <v>72</v>
      </c>
      <c r="H55" s="170">
        <v>18</v>
      </c>
      <c r="I55" s="35">
        <f t="shared" ref="I55:I59" si="25">$G55-$H55-$M55</f>
        <v>30</v>
      </c>
      <c r="J55" s="170"/>
      <c r="K55" s="170"/>
      <c r="L55" s="170"/>
      <c r="M55" s="170">
        <v>24</v>
      </c>
      <c r="N55" s="171"/>
      <c r="O55" s="171"/>
      <c r="P55" s="171"/>
      <c r="Q55" s="171"/>
      <c r="R55" s="171"/>
      <c r="S55" s="170"/>
      <c r="T55" s="115">
        <v>72</v>
      </c>
      <c r="U55" s="171"/>
      <c r="V55" s="275"/>
      <c r="X55" s="276"/>
    </row>
    <row r="56" spans="1:24" s="278" customFormat="1" ht="15" customHeight="1" outlineLevel="2" x14ac:dyDescent="0.25">
      <c r="A56" s="277" t="s">
        <v>180</v>
      </c>
      <c r="B56" s="156" t="s">
        <v>112</v>
      </c>
      <c r="C56" s="169">
        <v>7</v>
      </c>
      <c r="D56" s="169">
        <v>6</v>
      </c>
      <c r="E56" s="169">
        <v>1</v>
      </c>
      <c r="F56" s="169">
        <v>4</v>
      </c>
      <c r="G56" s="138">
        <v>96</v>
      </c>
      <c r="H56" s="170">
        <v>18</v>
      </c>
      <c r="I56" s="35">
        <f t="shared" si="25"/>
        <v>30</v>
      </c>
      <c r="J56" s="170"/>
      <c r="K56" s="170"/>
      <c r="L56" s="170"/>
      <c r="M56" s="170">
        <v>48</v>
      </c>
      <c r="N56" s="171"/>
      <c r="O56" s="171"/>
      <c r="P56" s="171"/>
      <c r="Q56" s="171"/>
      <c r="R56" s="171"/>
      <c r="S56" s="170">
        <v>54</v>
      </c>
      <c r="T56" s="115">
        <v>42</v>
      </c>
      <c r="U56" s="171"/>
      <c r="V56" s="196"/>
      <c r="X56" s="276"/>
    </row>
    <row r="57" spans="1:24" s="278" customFormat="1" ht="15" customHeight="1" outlineLevel="2" x14ac:dyDescent="0.25">
      <c r="A57" s="277" t="s">
        <v>181</v>
      </c>
      <c r="B57" s="156" t="s">
        <v>130</v>
      </c>
      <c r="C57" s="169"/>
      <c r="D57" s="169">
        <v>7</v>
      </c>
      <c r="E57" s="169">
        <v>1</v>
      </c>
      <c r="F57" s="169">
        <v>2</v>
      </c>
      <c r="G57" s="138">
        <v>48</v>
      </c>
      <c r="H57" s="170">
        <v>12</v>
      </c>
      <c r="I57" s="35">
        <f t="shared" si="25"/>
        <v>36</v>
      </c>
      <c r="J57" s="170"/>
      <c r="K57" s="170"/>
      <c r="L57" s="170"/>
      <c r="M57" s="170"/>
      <c r="N57" s="171"/>
      <c r="O57" s="171"/>
      <c r="P57" s="171"/>
      <c r="Q57" s="171"/>
      <c r="R57" s="171"/>
      <c r="S57" s="35">
        <v>24</v>
      </c>
      <c r="T57" s="115">
        <v>24</v>
      </c>
      <c r="U57" s="171"/>
      <c r="V57" s="196"/>
      <c r="X57" s="276"/>
    </row>
    <row r="58" spans="1:24" s="278" customFormat="1" ht="15" customHeight="1" outlineLevel="2" x14ac:dyDescent="0.25">
      <c r="A58" s="277" t="s">
        <v>182</v>
      </c>
      <c r="B58" s="156" t="s">
        <v>131</v>
      </c>
      <c r="C58" s="169"/>
      <c r="D58" s="169">
        <v>7</v>
      </c>
      <c r="E58" s="169">
        <v>1</v>
      </c>
      <c r="F58" s="169">
        <v>2</v>
      </c>
      <c r="G58" s="138">
        <v>48</v>
      </c>
      <c r="H58" s="170">
        <v>12</v>
      </c>
      <c r="I58" s="35">
        <f>$G58-$H58-$M58</f>
        <v>36</v>
      </c>
      <c r="J58" s="170"/>
      <c r="K58" s="170"/>
      <c r="L58" s="170"/>
      <c r="M58" s="170"/>
      <c r="N58" s="171"/>
      <c r="O58" s="171"/>
      <c r="P58" s="171"/>
      <c r="Q58" s="171"/>
      <c r="R58" s="171"/>
      <c r="S58" s="170"/>
      <c r="T58" s="65">
        <v>48</v>
      </c>
      <c r="U58" s="171"/>
      <c r="V58" s="196"/>
      <c r="X58" s="276"/>
    </row>
    <row r="59" spans="1:24" s="278" customFormat="1" ht="24" customHeight="1" outlineLevel="2" x14ac:dyDescent="0.25">
      <c r="A59" s="277" t="s">
        <v>188</v>
      </c>
      <c r="B59" s="6" t="s">
        <v>122</v>
      </c>
      <c r="C59" s="35"/>
      <c r="D59" s="35">
        <v>8</v>
      </c>
      <c r="E59" s="35">
        <v>1</v>
      </c>
      <c r="F59" s="169">
        <f>G59/24</f>
        <v>2</v>
      </c>
      <c r="G59" s="138">
        <v>48</v>
      </c>
      <c r="H59" s="36">
        <v>12</v>
      </c>
      <c r="I59" s="35">
        <f t="shared" si="25"/>
        <v>36</v>
      </c>
      <c r="J59" s="36"/>
      <c r="K59" s="36"/>
      <c r="L59" s="36"/>
      <c r="M59" s="36"/>
      <c r="N59" s="36"/>
      <c r="O59" s="36"/>
      <c r="P59" s="38"/>
      <c r="Q59" s="38"/>
      <c r="R59" s="38"/>
      <c r="S59" s="35"/>
      <c r="T59" s="65">
        <v>48</v>
      </c>
      <c r="U59" s="35"/>
      <c r="V59" s="196"/>
      <c r="W59" s="290"/>
      <c r="X59" s="276"/>
    </row>
    <row r="60" spans="1:24" s="278" customFormat="1" ht="24" customHeight="1" outlineLevel="2" x14ac:dyDescent="0.25">
      <c r="A60" s="277" t="s">
        <v>189</v>
      </c>
      <c r="B60" s="291" t="s">
        <v>187</v>
      </c>
      <c r="C60" s="169"/>
      <c r="D60" s="169">
        <v>8</v>
      </c>
      <c r="E60" s="169"/>
      <c r="F60" s="169">
        <f t="shared" ref="F60" si="26">G60/24</f>
        <v>9</v>
      </c>
      <c r="G60" s="138">
        <v>216</v>
      </c>
      <c r="H60" s="170"/>
      <c r="I60" s="170"/>
      <c r="J60" s="170"/>
      <c r="K60" s="170"/>
      <c r="L60" s="170"/>
      <c r="M60" s="170"/>
      <c r="N60" s="170">
        <v>216</v>
      </c>
      <c r="O60" s="170"/>
      <c r="P60" s="38"/>
      <c r="Q60" s="38"/>
      <c r="R60" s="281"/>
      <c r="S60" s="169"/>
      <c r="T60" s="134"/>
      <c r="U60" s="169">
        <v>216</v>
      </c>
      <c r="V60" s="196"/>
      <c r="X60" s="276"/>
    </row>
    <row r="61" spans="1:24" s="70" customFormat="1" ht="77.25" customHeight="1" x14ac:dyDescent="0.25">
      <c r="A61" s="68" t="s">
        <v>156</v>
      </c>
      <c r="B61" s="68" t="s">
        <v>59</v>
      </c>
      <c r="C61" s="69">
        <v>0</v>
      </c>
      <c r="D61" s="69">
        <v>4</v>
      </c>
      <c r="E61" s="69">
        <v>2</v>
      </c>
      <c r="F61" s="89">
        <f>SUM(F63:F66)</f>
        <v>6</v>
      </c>
      <c r="G61" s="139">
        <f t="shared" ref="G61:U61" si="27">SUM(G63:G66)</f>
        <v>144</v>
      </c>
      <c r="H61" s="89">
        <f>SUM(H63:H66)</f>
        <v>144</v>
      </c>
      <c r="I61" s="89">
        <f t="shared" si="27"/>
        <v>0</v>
      </c>
      <c r="J61" s="89">
        <f t="shared" si="27"/>
        <v>0</v>
      </c>
      <c r="K61" s="89"/>
      <c r="L61" s="89"/>
      <c r="M61" s="89">
        <f t="shared" si="27"/>
        <v>0</v>
      </c>
      <c r="N61" s="89">
        <f t="shared" si="27"/>
        <v>0</v>
      </c>
      <c r="O61" s="89"/>
      <c r="P61" s="89">
        <f t="shared" si="27"/>
        <v>0</v>
      </c>
      <c r="Q61" s="89">
        <f t="shared" si="27"/>
        <v>0</v>
      </c>
      <c r="R61" s="89">
        <f t="shared" si="27"/>
        <v>0</v>
      </c>
      <c r="S61" s="89">
        <f t="shared" si="27"/>
        <v>144</v>
      </c>
      <c r="T61" s="89">
        <f t="shared" si="27"/>
        <v>0</v>
      </c>
      <c r="U61" s="89">
        <f t="shared" si="27"/>
        <v>0</v>
      </c>
      <c r="V61" s="195"/>
    </row>
    <row r="62" spans="1:24" s="276" customFormat="1" ht="45" customHeight="1" x14ac:dyDescent="0.25">
      <c r="A62" s="228"/>
      <c r="B62" s="381" t="s">
        <v>148</v>
      </c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381"/>
      <c r="Q62" s="381"/>
      <c r="R62" s="381"/>
      <c r="S62" s="381"/>
      <c r="T62" s="381"/>
      <c r="U62" s="381"/>
      <c r="V62" s="275"/>
    </row>
    <row r="63" spans="1:24" s="278" customFormat="1" x14ac:dyDescent="0.25">
      <c r="A63" s="156" t="s">
        <v>183</v>
      </c>
      <c r="B63" s="156" t="s">
        <v>55</v>
      </c>
      <c r="C63" s="168"/>
      <c r="D63" s="35">
        <v>6</v>
      </c>
      <c r="E63" s="35">
        <v>1</v>
      </c>
      <c r="F63" s="169">
        <f t="shared" ref="F63:F67" si="28">G63/24</f>
        <v>1.5</v>
      </c>
      <c r="G63" s="279">
        <v>36</v>
      </c>
      <c r="H63" s="38">
        <v>36</v>
      </c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169">
        <v>36</v>
      </c>
      <c r="T63" s="38"/>
      <c r="U63" s="35"/>
      <c r="V63" s="196"/>
      <c r="X63" s="276"/>
    </row>
    <row r="64" spans="1:24" s="278" customFormat="1" x14ac:dyDescent="0.25">
      <c r="A64" s="156" t="s">
        <v>184</v>
      </c>
      <c r="B64" s="156" t="s">
        <v>56</v>
      </c>
      <c r="C64" s="168"/>
      <c r="D64" s="35">
        <v>6</v>
      </c>
      <c r="E64" s="35">
        <v>1</v>
      </c>
      <c r="F64" s="169">
        <f t="shared" si="28"/>
        <v>1.5</v>
      </c>
      <c r="G64" s="279">
        <v>36</v>
      </c>
      <c r="H64" s="38">
        <v>36</v>
      </c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169">
        <v>36</v>
      </c>
      <c r="T64" s="38"/>
      <c r="U64" s="35"/>
      <c r="V64" s="196"/>
      <c r="X64" s="276"/>
    </row>
    <row r="65" spans="1:24" s="278" customFormat="1" x14ac:dyDescent="0.25">
      <c r="A65" s="156" t="s">
        <v>185</v>
      </c>
      <c r="B65" s="156" t="s">
        <v>57</v>
      </c>
      <c r="C65" s="168"/>
      <c r="D65" s="35">
        <v>6</v>
      </c>
      <c r="E65" s="35"/>
      <c r="F65" s="169">
        <f t="shared" si="28"/>
        <v>1.5</v>
      </c>
      <c r="G65" s="279">
        <v>36</v>
      </c>
      <c r="H65" s="38">
        <v>36</v>
      </c>
      <c r="I65" s="280"/>
      <c r="J65" s="280"/>
      <c r="K65" s="280"/>
      <c r="L65" s="280"/>
      <c r="M65" s="280"/>
      <c r="N65" s="280"/>
      <c r="O65" s="280"/>
      <c r="P65" s="280"/>
      <c r="Q65" s="280"/>
      <c r="R65" s="280"/>
      <c r="S65" s="169">
        <v>36</v>
      </c>
      <c r="T65" s="38"/>
      <c r="U65" s="35"/>
      <c r="V65" s="196"/>
      <c r="X65" s="276"/>
    </row>
    <row r="66" spans="1:24" s="278" customFormat="1" x14ac:dyDescent="0.25">
      <c r="A66" s="156" t="s">
        <v>186</v>
      </c>
      <c r="B66" s="156" t="s">
        <v>58</v>
      </c>
      <c r="C66" s="168"/>
      <c r="D66" s="35">
        <v>6</v>
      </c>
      <c r="E66" s="35"/>
      <c r="F66" s="169">
        <f t="shared" si="28"/>
        <v>1.5</v>
      </c>
      <c r="G66" s="279">
        <v>36</v>
      </c>
      <c r="H66" s="38">
        <v>36</v>
      </c>
      <c r="I66" s="280"/>
      <c r="J66" s="280"/>
      <c r="K66" s="280"/>
      <c r="L66" s="280"/>
      <c r="M66" s="280"/>
      <c r="N66" s="280"/>
      <c r="O66" s="280"/>
      <c r="P66" s="280"/>
      <c r="Q66" s="280"/>
      <c r="R66" s="280"/>
      <c r="S66" s="169">
        <v>36</v>
      </c>
      <c r="T66" s="38"/>
      <c r="U66" s="35"/>
      <c r="V66" s="196"/>
      <c r="X66" s="276"/>
    </row>
    <row r="67" spans="1:24" s="278" customFormat="1" x14ac:dyDescent="0.25">
      <c r="A67" s="138" t="s">
        <v>241</v>
      </c>
      <c r="B67" s="292" t="s">
        <v>27</v>
      </c>
      <c r="C67" s="168"/>
      <c r="D67" s="35"/>
      <c r="E67" s="35"/>
      <c r="F67" s="169">
        <f t="shared" si="28"/>
        <v>3</v>
      </c>
      <c r="G67" s="279">
        <v>72</v>
      </c>
      <c r="H67" s="38">
        <v>72</v>
      </c>
      <c r="I67" s="280"/>
      <c r="J67" s="280"/>
      <c r="K67" s="280"/>
      <c r="L67" s="280"/>
      <c r="M67" s="280"/>
      <c r="N67" s="280"/>
      <c r="O67" s="280"/>
      <c r="P67" s="280"/>
      <c r="Q67" s="280"/>
      <c r="R67" s="281">
        <v>36</v>
      </c>
      <c r="S67" s="169">
        <v>36</v>
      </c>
      <c r="T67" s="38"/>
      <c r="U67" s="35"/>
      <c r="V67" s="196"/>
      <c r="X67" s="276"/>
    </row>
    <row r="68" spans="1:24" s="80" customFormat="1" x14ac:dyDescent="0.25">
      <c r="A68" s="211"/>
      <c r="B68" s="211" t="s">
        <v>135</v>
      </c>
      <c r="C68" s="215">
        <f>SUM(C41+C47+C52+C61)</f>
        <v>2</v>
      </c>
      <c r="D68" s="215">
        <f t="shared" ref="D68:Q68" si="29">SUM(D41+D47+D52+D61)</f>
        <v>18</v>
      </c>
      <c r="E68" s="215">
        <f t="shared" si="29"/>
        <v>15</v>
      </c>
      <c r="F68" s="215">
        <f>SUM(F41+F47+F52+F61+F67)</f>
        <v>59.5</v>
      </c>
      <c r="G68" s="215">
        <v>1440</v>
      </c>
      <c r="H68" s="215">
        <f t="shared" si="29"/>
        <v>364</v>
      </c>
      <c r="I68" s="215">
        <f t="shared" si="29"/>
        <v>380</v>
      </c>
      <c r="J68" s="215">
        <f t="shared" si="29"/>
        <v>0</v>
      </c>
      <c r="K68" s="215"/>
      <c r="L68" s="215"/>
      <c r="M68" s="215">
        <f t="shared" si="29"/>
        <v>396</v>
      </c>
      <c r="N68" s="215">
        <f t="shared" si="29"/>
        <v>216</v>
      </c>
      <c r="O68" s="215"/>
      <c r="P68" s="215">
        <f t="shared" si="29"/>
        <v>0</v>
      </c>
      <c r="Q68" s="215">
        <f t="shared" si="29"/>
        <v>0</v>
      </c>
      <c r="R68" s="211">
        <f>SUM(R40+R41+R47+R52+R61+R67)</f>
        <v>828</v>
      </c>
      <c r="S68" s="211">
        <f>SUM(S40+S41+S47+S52+S61+S67)</f>
        <v>612</v>
      </c>
      <c r="T68" s="216">
        <f t="shared" ref="T68:U68" si="30">SUM(T40+T41+T47+T52+T61+T67)</f>
        <v>336</v>
      </c>
      <c r="U68" s="216">
        <f t="shared" si="30"/>
        <v>216</v>
      </c>
      <c r="V68" s="195"/>
      <c r="W68" s="73"/>
      <c r="X68" s="289"/>
    </row>
    <row r="69" spans="1:24" s="91" customFormat="1" ht="39" customHeight="1" x14ac:dyDescent="0.25">
      <c r="A69" s="54" t="s">
        <v>190</v>
      </c>
      <c r="B69" s="101" t="s">
        <v>113</v>
      </c>
      <c r="C69" s="55">
        <f>COUNT(C71:C75)</f>
        <v>1</v>
      </c>
      <c r="D69" s="55">
        <f t="shared" ref="D69:E69" si="31">COUNT(D71:D75)</f>
        <v>5</v>
      </c>
      <c r="E69" s="55">
        <f t="shared" si="31"/>
        <v>5</v>
      </c>
      <c r="F69" s="60">
        <f t="shared" ref="F69" si="32">SUM(F71:F75)</f>
        <v>9</v>
      </c>
      <c r="G69" s="60">
        <f>SUM(G71:G75)</f>
        <v>216</v>
      </c>
      <c r="H69" s="60">
        <f>SUM(H71:H75)</f>
        <v>56</v>
      </c>
      <c r="I69" s="60">
        <f>SUM(I71:I75)</f>
        <v>112</v>
      </c>
      <c r="J69" s="60">
        <f t="shared" ref="J69:U69" si="33">SUM(J71:J75)</f>
        <v>0</v>
      </c>
      <c r="K69" s="60"/>
      <c r="L69" s="60"/>
      <c r="M69" s="60">
        <f t="shared" si="33"/>
        <v>48</v>
      </c>
      <c r="N69" s="60">
        <f t="shared" si="33"/>
        <v>0</v>
      </c>
      <c r="O69" s="60"/>
      <c r="P69" s="83">
        <f t="shared" si="33"/>
        <v>0</v>
      </c>
      <c r="Q69" s="83">
        <f t="shared" si="33"/>
        <v>0</v>
      </c>
      <c r="R69" s="60">
        <f t="shared" si="33"/>
        <v>0</v>
      </c>
      <c r="S69" s="60">
        <f t="shared" si="33"/>
        <v>0</v>
      </c>
      <c r="T69" s="60">
        <f t="shared" si="33"/>
        <v>216</v>
      </c>
      <c r="U69" s="60">
        <f t="shared" si="33"/>
        <v>0</v>
      </c>
      <c r="V69" s="194"/>
    </row>
    <row r="70" spans="1:24" s="276" customFormat="1" ht="39" customHeight="1" x14ac:dyDescent="0.25">
      <c r="A70" s="274"/>
      <c r="B70" s="381" t="s">
        <v>150</v>
      </c>
      <c r="C70" s="381"/>
      <c r="D70" s="381"/>
      <c r="E70" s="381"/>
      <c r="F70" s="381"/>
      <c r="G70" s="381"/>
      <c r="H70" s="381"/>
      <c r="I70" s="381"/>
      <c r="J70" s="381"/>
      <c r="K70" s="381"/>
      <c r="L70" s="381"/>
      <c r="M70" s="381"/>
      <c r="N70" s="381"/>
      <c r="O70" s="381"/>
      <c r="P70" s="381"/>
      <c r="Q70" s="381"/>
      <c r="R70" s="381"/>
      <c r="S70" s="381"/>
      <c r="T70" s="381"/>
      <c r="U70" s="381"/>
      <c r="V70" s="275"/>
    </row>
    <row r="71" spans="1:24" s="276" customFormat="1" ht="15.75" customHeight="1" x14ac:dyDescent="0.25">
      <c r="A71" s="33" t="s">
        <v>191</v>
      </c>
      <c r="B71" s="6" t="s">
        <v>293</v>
      </c>
      <c r="C71" s="35"/>
      <c r="D71" s="35">
        <v>7</v>
      </c>
      <c r="E71" s="35">
        <v>1</v>
      </c>
      <c r="F71" s="169">
        <f t="shared" ref="F71:F82" si="34">G71/24</f>
        <v>1.5</v>
      </c>
      <c r="G71" s="138">
        <v>36</v>
      </c>
      <c r="H71" s="36">
        <v>16</v>
      </c>
      <c r="I71" s="35">
        <f t="shared" ref="I71:I81" si="35">$G71-$H71-$M71</f>
        <v>20</v>
      </c>
      <c r="J71" s="36"/>
      <c r="K71" s="36"/>
      <c r="L71" s="36"/>
      <c r="M71" s="36"/>
      <c r="N71" s="36"/>
      <c r="O71" s="36"/>
      <c r="P71" s="38"/>
      <c r="Q71" s="38"/>
      <c r="R71" s="38"/>
      <c r="S71" s="35"/>
      <c r="T71" s="65">
        <v>36</v>
      </c>
      <c r="U71" s="138"/>
      <c r="V71" s="196"/>
    </row>
    <row r="72" spans="1:24" ht="15.75" customHeight="1" x14ac:dyDescent="0.25">
      <c r="A72" s="33" t="s">
        <v>192</v>
      </c>
      <c r="B72" s="6" t="s">
        <v>114</v>
      </c>
      <c r="C72" s="35"/>
      <c r="D72" s="35">
        <v>7</v>
      </c>
      <c r="E72" s="35">
        <v>1</v>
      </c>
      <c r="F72" s="169">
        <f t="shared" si="34"/>
        <v>2</v>
      </c>
      <c r="G72" s="141">
        <v>48</v>
      </c>
      <c r="H72" s="66">
        <v>10</v>
      </c>
      <c r="I72" s="35">
        <f t="shared" si="35"/>
        <v>14</v>
      </c>
      <c r="J72" s="66"/>
      <c r="K72" s="66"/>
      <c r="L72" s="66"/>
      <c r="M72" s="36">
        <v>24</v>
      </c>
      <c r="N72" s="36"/>
      <c r="O72" s="36"/>
      <c r="P72" s="38"/>
      <c r="Q72" s="38"/>
      <c r="R72" s="38"/>
      <c r="S72" s="35"/>
      <c r="T72" s="35">
        <v>48</v>
      </c>
      <c r="U72" s="35"/>
      <c r="V72" s="196"/>
    </row>
    <row r="73" spans="1:24" ht="15.75" customHeight="1" x14ac:dyDescent="0.25">
      <c r="A73" s="33" t="s">
        <v>193</v>
      </c>
      <c r="B73" s="6" t="s">
        <v>66</v>
      </c>
      <c r="C73" s="35">
        <v>7</v>
      </c>
      <c r="D73" s="35">
        <v>7</v>
      </c>
      <c r="E73" s="35">
        <v>1</v>
      </c>
      <c r="F73" s="169">
        <f t="shared" si="34"/>
        <v>2.5</v>
      </c>
      <c r="G73" s="141">
        <v>60</v>
      </c>
      <c r="H73" s="66">
        <v>18</v>
      </c>
      <c r="I73" s="35">
        <f t="shared" si="35"/>
        <v>18</v>
      </c>
      <c r="J73" s="66"/>
      <c r="K73" s="66"/>
      <c r="L73" s="66"/>
      <c r="M73" s="36">
        <v>24</v>
      </c>
      <c r="N73" s="36"/>
      <c r="O73" s="36"/>
      <c r="P73" s="38"/>
      <c r="Q73" s="38"/>
      <c r="R73" s="38"/>
      <c r="S73" s="35"/>
      <c r="T73" s="65">
        <v>60</v>
      </c>
      <c r="U73" s="35"/>
      <c r="V73" s="196"/>
    </row>
    <row r="74" spans="1:24" ht="15.75" customHeight="1" x14ac:dyDescent="0.25">
      <c r="A74" s="33" t="s">
        <v>194</v>
      </c>
      <c r="B74" s="6" t="s">
        <v>115</v>
      </c>
      <c r="C74" s="35"/>
      <c r="D74" s="35">
        <v>7</v>
      </c>
      <c r="E74" s="35">
        <v>1</v>
      </c>
      <c r="F74" s="169">
        <f t="shared" si="34"/>
        <v>1.5</v>
      </c>
      <c r="G74" s="141">
        <v>36</v>
      </c>
      <c r="H74" s="36">
        <v>6</v>
      </c>
      <c r="I74" s="35">
        <f t="shared" si="35"/>
        <v>30</v>
      </c>
      <c r="J74" s="36"/>
      <c r="K74" s="36"/>
      <c r="L74" s="36"/>
      <c r="M74" s="36"/>
      <c r="N74" s="36"/>
      <c r="O74" s="36"/>
      <c r="P74" s="38"/>
      <c r="Q74" s="38"/>
      <c r="R74" s="38"/>
      <c r="S74" s="35"/>
      <c r="T74" s="65">
        <v>36</v>
      </c>
      <c r="U74" s="35"/>
      <c r="V74" s="196"/>
    </row>
    <row r="75" spans="1:24" ht="15.75" customHeight="1" x14ac:dyDescent="0.25">
      <c r="A75" s="33" t="s">
        <v>195</v>
      </c>
      <c r="B75" s="6" t="s">
        <v>116</v>
      </c>
      <c r="C75" s="35"/>
      <c r="D75" s="35">
        <v>7</v>
      </c>
      <c r="E75" s="35">
        <v>1</v>
      </c>
      <c r="F75" s="169">
        <f t="shared" si="34"/>
        <v>1.5</v>
      </c>
      <c r="G75" s="141">
        <v>36</v>
      </c>
      <c r="H75" s="36">
        <v>6</v>
      </c>
      <c r="I75" s="35">
        <f t="shared" si="35"/>
        <v>30</v>
      </c>
      <c r="J75" s="36"/>
      <c r="K75" s="36"/>
      <c r="L75" s="36"/>
      <c r="M75" s="36"/>
      <c r="N75" s="36"/>
      <c r="O75" s="36"/>
      <c r="P75" s="38"/>
      <c r="Q75" s="38"/>
      <c r="R75" s="38"/>
      <c r="S75" s="35"/>
      <c r="T75" s="65">
        <v>36</v>
      </c>
      <c r="U75" s="35"/>
      <c r="V75" s="196"/>
    </row>
    <row r="76" spans="1:24" s="52" customFormat="1" ht="29.25" customHeight="1" x14ac:dyDescent="0.25">
      <c r="A76" s="54" t="s">
        <v>196</v>
      </c>
      <c r="B76" s="101" t="s">
        <v>117</v>
      </c>
      <c r="C76" s="55">
        <f>COUNT(C78:C81)</f>
        <v>1</v>
      </c>
      <c r="D76" s="55">
        <f t="shared" ref="D76:E76" si="36">COUNT(D78:D81)</f>
        <v>4</v>
      </c>
      <c r="E76" s="55">
        <f t="shared" si="36"/>
        <v>4</v>
      </c>
      <c r="F76" s="60">
        <f>SUM(F78:F82)</f>
        <v>16</v>
      </c>
      <c r="G76" s="60">
        <f>SUM(G78:G82)</f>
        <v>384</v>
      </c>
      <c r="H76" s="60">
        <f t="shared" ref="H76:N76" si="37">SUM(H78:H82)</f>
        <v>54</v>
      </c>
      <c r="I76" s="60">
        <f t="shared" si="37"/>
        <v>150</v>
      </c>
      <c r="J76" s="60">
        <f t="shared" si="37"/>
        <v>0</v>
      </c>
      <c r="K76" s="60"/>
      <c r="L76" s="60"/>
      <c r="M76" s="60">
        <f t="shared" si="37"/>
        <v>36</v>
      </c>
      <c r="N76" s="60">
        <f t="shared" si="37"/>
        <v>144</v>
      </c>
      <c r="O76" s="60"/>
      <c r="P76" s="83">
        <f t="shared" ref="P76:U76" si="38">SUM(P78:P82)</f>
        <v>0</v>
      </c>
      <c r="Q76" s="83">
        <f t="shared" si="38"/>
        <v>0</v>
      </c>
      <c r="R76" s="60">
        <f t="shared" si="38"/>
        <v>0</v>
      </c>
      <c r="S76" s="60">
        <f t="shared" si="38"/>
        <v>0</v>
      </c>
      <c r="T76" s="60">
        <f t="shared" si="38"/>
        <v>240</v>
      </c>
      <c r="U76" s="60">
        <f t="shared" si="38"/>
        <v>144</v>
      </c>
      <c r="V76" s="194"/>
    </row>
    <row r="77" spans="1:24" s="263" customFormat="1" ht="42" customHeight="1" x14ac:dyDescent="0.25">
      <c r="A77" s="274"/>
      <c r="B77" s="381" t="s">
        <v>151</v>
      </c>
      <c r="C77" s="381"/>
      <c r="D77" s="381"/>
      <c r="E77" s="381"/>
      <c r="F77" s="381"/>
      <c r="G77" s="381"/>
      <c r="H77" s="381"/>
      <c r="I77" s="381"/>
      <c r="J77" s="381"/>
      <c r="K77" s="381"/>
      <c r="L77" s="381"/>
      <c r="M77" s="381"/>
      <c r="N77" s="381"/>
      <c r="O77" s="381"/>
      <c r="P77" s="381"/>
      <c r="Q77" s="381"/>
      <c r="R77" s="381"/>
      <c r="S77" s="381"/>
      <c r="T77" s="381"/>
      <c r="U77" s="381"/>
      <c r="V77" s="275"/>
    </row>
    <row r="78" spans="1:24" ht="14.25" customHeight="1" x14ac:dyDescent="0.25">
      <c r="A78" s="33" t="s">
        <v>197</v>
      </c>
      <c r="B78" s="6" t="s">
        <v>117</v>
      </c>
      <c r="C78" s="35">
        <v>7</v>
      </c>
      <c r="D78" s="35">
        <v>7</v>
      </c>
      <c r="E78" s="35">
        <v>1</v>
      </c>
      <c r="F78" s="169">
        <f t="shared" si="34"/>
        <v>2.5</v>
      </c>
      <c r="G78" s="138">
        <v>60</v>
      </c>
      <c r="H78" s="36">
        <v>4</v>
      </c>
      <c r="I78" s="35">
        <f t="shared" si="35"/>
        <v>20</v>
      </c>
      <c r="J78" s="36"/>
      <c r="K78" s="36"/>
      <c r="L78" s="36"/>
      <c r="M78" s="36">
        <v>36</v>
      </c>
      <c r="N78" s="36"/>
      <c r="O78" s="36"/>
      <c r="P78" s="38"/>
      <c r="Q78" s="38"/>
      <c r="R78" s="38"/>
      <c r="S78" s="35"/>
      <c r="T78" s="35">
        <v>60</v>
      </c>
      <c r="U78" s="65"/>
      <c r="V78" s="196"/>
    </row>
    <row r="79" spans="1:24" ht="14.25" customHeight="1" x14ac:dyDescent="0.25">
      <c r="A79" s="33" t="s">
        <v>198</v>
      </c>
      <c r="B79" s="6" t="s">
        <v>118</v>
      </c>
      <c r="C79" s="35"/>
      <c r="D79" s="35">
        <v>7</v>
      </c>
      <c r="E79" s="35">
        <v>1</v>
      </c>
      <c r="F79" s="169">
        <f t="shared" si="34"/>
        <v>2</v>
      </c>
      <c r="G79" s="138">
        <v>48</v>
      </c>
      <c r="H79" s="36">
        <v>18</v>
      </c>
      <c r="I79" s="35">
        <f t="shared" si="35"/>
        <v>30</v>
      </c>
      <c r="J79" s="36"/>
      <c r="K79" s="36"/>
      <c r="L79" s="36"/>
      <c r="M79" s="36"/>
      <c r="N79" s="36"/>
      <c r="O79" s="36"/>
      <c r="P79" s="38"/>
      <c r="Q79" s="38"/>
      <c r="R79" s="38"/>
      <c r="S79" s="35"/>
      <c r="T79" s="65">
        <v>48</v>
      </c>
      <c r="U79" s="35"/>
      <c r="V79" s="196"/>
    </row>
    <row r="80" spans="1:24" ht="14.25" customHeight="1" x14ac:dyDescent="0.25">
      <c r="A80" s="33" t="s">
        <v>199</v>
      </c>
      <c r="B80" s="6" t="s">
        <v>119</v>
      </c>
      <c r="C80" s="35"/>
      <c r="D80" s="35">
        <v>7</v>
      </c>
      <c r="E80" s="35">
        <v>1</v>
      </c>
      <c r="F80" s="169">
        <f t="shared" si="34"/>
        <v>2</v>
      </c>
      <c r="G80" s="138">
        <v>48</v>
      </c>
      <c r="H80" s="36">
        <v>18</v>
      </c>
      <c r="I80" s="35">
        <f t="shared" si="35"/>
        <v>30</v>
      </c>
      <c r="J80" s="36"/>
      <c r="K80" s="36"/>
      <c r="L80" s="36"/>
      <c r="M80" s="36"/>
      <c r="N80" s="36"/>
      <c r="O80" s="36"/>
      <c r="P80" s="38"/>
      <c r="Q80" s="38"/>
      <c r="R80" s="38"/>
      <c r="S80" s="35"/>
      <c r="T80" s="65">
        <v>48</v>
      </c>
      <c r="U80" s="65"/>
      <c r="V80" s="196"/>
    </row>
    <row r="81" spans="1:24" ht="14.25" customHeight="1" x14ac:dyDescent="0.25">
      <c r="A81" s="33" t="s">
        <v>200</v>
      </c>
      <c r="B81" s="6" t="s">
        <v>294</v>
      </c>
      <c r="C81" s="35"/>
      <c r="D81" s="35">
        <v>7</v>
      </c>
      <c r="E81" s="35">
        <v>1</v>
      </c>
      <c r="F81" s="169">
        <f t="shared" si="34"/>
        <v>3.5</v>
      </c>
      <c r="G81" s="138">
        <v>84</v>
      </c>
      <c r="H81" s="36">
        <v>14</v>
      </c>
      <c r="I81" s="35">
        <f t="shared" si="35"/>
        <v>70</v>
      </c>
      <c r="J81" s="36"/>
      <c r="K81" s="36"/>
      <c r="L81" s="36"/>
      <c r="M81" s="36"/>
      <c r="N81" s="36"/>
      <c r="O81" s="36"/>
      <c r="P81" s="38"/>
      <c r="Q81" s="38"/>
      <c r="R81" s="38"/>
      <c r="S81" s="35"/>
      <c r="T81" s="65">
        <v>84</v>
      </c>
      <c r="U81" s="35"/>
      <c r="V81" s="196"/>
    </row>
    <row r="82" spans="1:24" ht="14.25" customHeight="1" x14ac:dyDescent="0.25">
      <c r="A82" s="33" t="s">
        <v>201</v>
      </c>
      <c r="B82" s="6" t="s">
        <v>36</v>
      </c>
      <c r="C82" s="293">
        <v>0</v>
      </c>
      <c r="D82" s="293">
        <v>0</v>
      </c>
      <c r="E82" s="293">
        <v>0</v>
      </c>
      <c r="F82" s="134">
        <f t="shared" si="34"/>
        <v>6</v>
      </c>
      <c r="G82" s="141">
        <v>144</v>
      </c>
      <c r="H82" s="293">
        <v>0</v>
      </c>
      <c r="I82" s="293">
        <v>0</v>
      </c>
      <c r="J82" s="293">
        <v>0</v>
      </c>
      <c r="K82" s="293"/>
      <c r="L82" s="293"/>
      <c r="M82" s="293">
        <v>0</v>
      </c>
      <c r="N82" s="141">
        <v>144</v>
      </c>
      <c r="O82" s="141"/>
      <c r="P82" s="168">
        <v>0</v>
      </c>
      <c r="Q82" s="168">
        <v>0</v>
      </c>
      <c r="R82" s="157">
        <v>0</v>
      </c>
      <c r="S82" s="157">
        <v>0</v>
      </c>
      <c r="T82" s="293">
        <v>0</v>
      </c>
      <c r="U82" s="293">
        <v>144</v>
      </c>
      <c r="V82" s="196"/>
    </row>
    <row r="83" spans="1:24" s="276" customFormat="1" x14ac:dyDescent="0.25">
      <c r="A83" s="274"/>
      <c r="B83" s="292" t="s">
        <v>27</v>
      </c>
      <c r="C83" s="157"/>
      <c r="D83" s="157"/>
      <c r="E83" s="157"/>
      <c r="F83" s="169">
        <v>1.5</v>
      </c>
      <c r="G83" s="138">
        <v>36</v>
      </c>
      <c r="H83" s="157">
        <v>36</v>
      </c>
      <c r="I83" s="157"/>
      <c r="J83" s="157"/>
      <c r="K83" s="157"/>
      <c r="L83" s="157"/>
      <c r="M83" s="157"/>
      <c r="N83" s="138"/>
      <c r="O83" s="138"/>
      <c r="P83" s="168"/>
      <c r="Q83" s="168"/>
      <c r="R83" s="157"/>
      <c r="S83" s="157"/>
      <c r="T83" s="294">
        <v>36</v>
      </c>
      <c r="U83" s="157"/>
      <c r="V83" s="196"/>
    </row>
    <row r="84" spans="1:24" s="91" customFormat="1" x14ac:dyDescent="0.25">
      <c r="A84" s="54" t="s">
        <v>60</v>
      </c>
      <c r="B84" s="101" t="s">
        <v>61</v>
      </c>
      <c r="C84" s="55">
        <v>0</v>
      </c>
      <c r="D84" s="102">
        <v>0</v>
      </c>
      <c r="E84" s="55">
        <v>0</v>
      </c>
      <c r="F84" s="67">
        <f>G84/24</f>
        <v>9</v>
      </c>
      <c r="G84" s="88">
        <v>216</v>
      </c>
      <c r="H84" s="55">
        <v>0</v>
      </c>
      <c r="I84" s="55">
        <v>0</v>
      </c>
      <c r="J84" s="55">
        <v>0</v>
      </c>
      <c r="K84" s="55"/>
      <c r="L84" s="55"/>
      <c r="M84" s="55">
        <v>0</v>
      </c>
      <c r="N84" s="88">
        <v>216</v>
      </c>
      <c r="O84" s="88"/>
      <c r="P84" s="252">
        <v>0</v>
      </c>
      <c r="Q84" s="252">
        <v>0</v>
      </c>
      <c r="R84" s="55">
        <v>0</v>
      </c>
      <c r="S84" s="55">
        <v>0</v>
      </c>
      <c r="T84" s="55">
        <v>0</v>
      </c>
      <c r="U84" s="102">
        <v>216</v>
      </c>
      <c r="V84" s="194"/>
    </row>
    <row r="85" spans="1:24" s="276" customFormat="1" x14ac:dyDescent="0.25">
      <c r="A85" s="295" t="s">
        <v>242</v>
      </c>
      <c r="B85" s="295" t="s">
        <v>34</v>
      </c>
      <c r="C85" s="35"/>
      <c r="D85" s="35"/>
      <c r="E85" s="35"/>
      <c r="F85" s="169">
        <f>G85/24</f>
        <v>1.5</v>
      </c>
      <c r="G85" s="138">
        <v>36</v>
      </c>
      <c r="H85" s="138">
        <v>36</v>
      </c>
      <c r="I85" s="36"/>
      <c r="J85" s="36"/>
      <c r="K85" s="36"/>
      <c r="L85" s="36"/>
      <c r="M85" s="36"/>
      <c r="N85" s="36"/>
      <c r="O85" s="36"/>
      <c r="P85" s="38"/>
      <c r="Q85" s="38"/>
      <c r="R85" s="38"/>
      <c r="S85" s="35"/>
      <c r="T85" s="65"/>
      <c r="U85" s="296">
        <v>36</v>
      </c>
      <c r="V85" s="196"/>
    </row>
    <row r="86" spans="1:24" s="70" customFormat="1" x14ac:dyDescent="0.25">
      <c r="A86" s="43"/>
      <c r="B86" s="211" t="s">
        <v>136</v>
      </c>
      <c r="C86" s="297">
        <f>SUM(C69+C76)</f>
        <v>2</v>
      </c>
      <c r="D86" s="297">
        <f t="shared" ref="D86:S86" si="39">SUM(D69+D76)</f>
        <v>9</v>
      </c>
      <c r="E86" s="297">
        <f t="shared" si="39"/>
        <v>9</v>
      </c>
      <c r="F86" s="297">
        <f>SUM(F69+F76+F84+F83+F85)</f>
        <v>37</v>
      </c>
      <c r="G86" s="297">
        <v>1440</v>
      </c>
      <c r="H86" s="297">
        <f t="shared" si="39"/>
        <v>110</v>
      </c>
      <c r="I86" s="297">
        <f t="shared" si="39"/>
        <v>262</v>
      </c>
      <c r="J86" s="297">
        <f t="shared" si="39"/>
        <v>0</v>
      </c>
      <c r="K86" s="297"/>
      <c r="L86" s="297"/>
      <c r="M86" s="297">
        <f t="shared" si="39"/>
        <v>84</v>
      </c>
      <c r="N86" s="297">
        <f t="shared" si="39"/>
        <v>144</v>
      </c>
      <c r="O86" s="297"/>
      <c r="P86" s="297">
        <f t="shared" si="39"/>
        <v>0</v>
      </c>
      <c r="Q86" s="297">
        <f t="shared" si="39"/>
        <v>0</v>
      </c>
      <c r="R86" s="297">
        <f t="shared" si="39"/>
        <v>0</v>
      </c>
      <c r="S86" s="297">
        <f t="shared" si="39"/>
        <v>0</v>
      </c>
      <c r="T86" s="298">
        <f>SUM(T68+T69+T76+T82+T83)</f>
        <v>828</v>
      </c>
      <c r="U86" s="298">
        <f>SUM(U68+U69+U76+U84+U85)</f>
        <v>612</v>
      </c>
      <c r="V86" s="195"/>
      <c r="X86" s="289"/>
    </row>
    <row r="87" spans="1:24" s="225" customFormat="1" ht="20.25" customHeight="1" x14ac:dyDescent="0.25">
      <c r="A87" s="220"/>
      <c r="B87" s="226" t="s">
        <v>37</v>
      </c>
      <c r="C87" s="299">
        <f ca="1">SUM(#REF!+C40+C68+C86)</f>
        <v>13</v>
      </c>
      <c r="D87" s="299">
        <f ca="1">SUM(#REF!+D40+D68+D86)</f>
        <v>56</v>
      </c>
      <c r="E87" s="299">
        <f ca="1">SUM(#REF!+E40+E68+E86)</f>
        <v>44</v>
      </c>
      <c r="F87" s="299">
        <f>SUM(F40+F68+F86)</f>
        <v>180</v>
      </c>
      <c r="G87" s="299">
        <f>SUM(G40+G68+G86)</f>
        <v>4320</v>
      </c>
      <c r="H87" s="299">
        <v>1842</v>
      </c>
      <c r="I87" s="299">
        <v>2208</v>
      </c>
      <c r="J87" s="299">
        <f ca="1">SUM(#REF!+J8+J11+J14+J21+J30+J34+J41+J47+J61+J52+J69+J76+J84)</f>
        <v>30</v>
      </c>
      <c r="K87" s="299"/>
      <c r="L87" s="299"/>
      <c r="M87" s="299">
        <f ca="1">SUM(#REF!+M8+M11+M14+M21+M30+M34+M41+M47+M61+M52+M69+M76+M84)</f>
        <v>1104</v>
      </c>
      <c r="N87" s="299">
        <f ca="1">SUM(#REF!+N8+N11+N14+N21+N30+N34+N41+N47+N61+N52+N69+N76+N84)</f>
        <v>576</v>
      </c>
      <c r="O87" s="299"/>
      <c r="P87" s="299">
        <f ca="1">SUM(#REF!+P40+P68+P86)</f>
        <v>828</v>
      </c>
      <c r="Q87" s="299">
        <f>SUM(Q40+Q68+Q86)</f>
        <v>612</v>
      </c>
      <c r="R87" s="299">
        <v>828</v>
      </c>
      <c r="S87" s="299">
        <v>612</v>
      </c>
      <c r="T87" s="299">
        <v>828</v>
      </c>
      <c r="U87" s="299">
        <v>612</v>
      </c>
      <c r="V87" s="222"/>
      <c r="X87" s="300"/>
    </row>
    <row r="88" spans="1:24" s="80" customFormat="1" ht="28.5" customHeight="1" x14ac:dyDescent="0.25">
      <c r="A88" s="131" t="s">
        <v>244</v>
      </c>
      <c r="B88" s="132" t="s">
        <v>97</v>
      </c>
      <c r="C88" s="79"/>
      <c r="D88" s="79"/>
      <c r="E88" s="79"/>
      <c r="F88" s="69">
        <f>G88/24</f>
        <v>12</v>
      </c>
      <c r="G88" s="69">
        <v>288</v>
      </c>
      <c r="H88" s="131"/>
      <c r="I88" s="131">
        <v>288</v>
      </c>
      <c r="J88" s="131"/>
      <c r="K88" s="131"/>
      <c r="L88" s="131"/>
      <c r="M88" s="131"/>
      <c r="N88" s="131"/>
      <c r="O88" s="131"/>
      <c r="P88" s="131">
        <v>48</v>
      </c>
      <c r="Q88" s="131">
        <v>48</v>
      </c>
      <c r="R88" s="131">
        <v>48</v>
      </c>
      <c r="S88" s="131">
        <v>48</v>
      </c>
      <c r="T88" s="131">
        <v>48</v>
      </c>
      <c r="U88" s="131">
        <v>48</v>
      </c>
      <c r="V88" s="195"/>
      <c r="X88" s="70"/>
    </row>
    <row r="89" spans="1:24" s="276" customFormat="1" ht="26.4" x14ac:dyDescent="0.25">
      <c r="A89" s="157" t="s">
        <v>243</v>
      </c>
      <c r="B89" s="228" t="s">
        <v>98</v>
      </c>
      <c r="C89" s="157"/>
      <c r="D89" s="157"/>
      <c r="E89" s="157"/>
      <c r="F89" s="157">
        <f t="shared" ref="F89:F98" si="40">G89/24</f>
        <v>14</v>
      </c>
      <c r="G89" s="157">
        <f>SUM(G90:G98)</f>
        <v>336</v>
      </c>
      <c r="H89" s="157">
        <f>SUM(H90:H98)</f>
        <v>0</v>
      </c>
      <c r="I89" s="157">
        <f>SUM(I90:I98)</f>
        <v>336</v>
      </c>
      <c r="J89" s="157"/>
      <c r="K89" s="157"/>
      <c r="L89" s="157"/>
      <c r="M89" s="157"/>
      <c r="N89" s="157"/>
      <c r="O89" s="157"/>
      <c r="P89" s="168">
        <f t="shared" ref="P89:U89" si="41">SUM(P90:P98)</f>
        <v>72</v>
      </c>
      <c r="Q89" s="168">
        <f t="shared" si="41"/>
        <v>62</v>
      </c>
      <c r="R89" s="157">
        <f t="shared" si="41"/>
        <v>82</v>
      </c>
      <c r="S89" s="157">
        <f t="shared" si="41"/>
        <v>38</v>
      </c>
      <c r="T89" s="157">
        <f t="shared" si="41"/>
        <v>82</v>
      </c>
      <c r="U89" s="157">
        <f t="shared" si="41"/>
        <v>0</v>
      </c>
      <c r="V89" s="275"/>
    </row>
    <row r="90" spans="1:24" s="278" customFormat="1" x14ac:dyDescent="0.25">
      <c r="A90" s="168" t="s">
        <v>218</v>
      </c>
      <c r="B90" s="156" t="s">
        <v>214</v>
      </c>
      <c r="C90" s="35"/>
      <c r="D90" s="35"/>
      <c r="E90" s="35"/>
      <c r="F90" s="169">
        <f t="shared" si="40"/>
        <v>4.5</v>
      </c>
      <c r="G90" s="157">
        <v>108</v>
      </c>
      <c r="H90" s="168"/>
      <c r="I90" s="35">
        <v>108</v>
      </c>
      <c r="J90" s="35"/>
      <c r="K90" s="35"/>
      <c r="L90" s="35"/>
      <c r="M90" s="168"/>
      <c r="N90" s="168"/>
      <c r="O90" s="168"/>
      <c r="P90" s="35">
        <v>24</v>
      </c>
      <c r="Q90" s="35">
        <v>20</v>
      </c>
      <c r="R90" s="169">
        <v>22</v>
      </c>
      <c r="S90" s="169">
        <v>20</v>
      </c>
      <c r="T90" s="134">
        <v>22</v>
      </c>
      <c r="U90" s="169"/>
      <c r="V90" s="275"/>
      <c r="X90" s="276"/>
    </row>
    <row r="91" spans="1:24" s="278" customFormat="1" x14ac:dyDescent="0.25">
      <c r="A91" s="168" t="s">
        <v>221</v>
      </c>
      <c r="B91" s="35" t="s">
        <v>138</v>
      </c>
      <c r="C91" s="35"/>
      <c r="D91" s="35"/>
      <c r="E91" s="35"/>
      <c r="F91" s="169">
        <f t="shared" si="40"/>
        <v>1.5</v>
      </c>
      <c r="G91" s="157">
        <v>36</v>
      </c>
      <c r="H91" s="168"/>
      <c r="I91" s="35">
        <v>36</v>
      </c>
      <c r="J91" s="35"/>
      <c r="K91" s="35"/>
      <c r="L91" s="35"/>
      <c r="M91" s="168"/>
      <c r="N91" s="168"/>
      <c r="O91" s="168"/>
      <c r="P91" s="169"/>
      <c r="Q91" s="169">
        <v>18</v>
      </c>
      <c r="R91" s="169">
        <v>18</v>
      </c>
      <c r="S91" s="169"/>
      <c r="T91" s="134"/>
      <c r="U91" s="169"/>
      <c r="V91" s="275"/>
      <c r="X91" s="276"/>
    </row>
    <row r="92" spans="1:24" s="278" customFormat="1" ht="26.4" x14ac:dyDescent="0.25">
      <c r="A92" s="168" t="s">
        <v>222</v>
      </c>
      <c r="B92" s="156" t="s">
        <v>99</v>
      </c>
      <c r="C92" s="35"/>
      <c r="D92" s="35"/>
      <c r="E92" s="35"/>
      <c r="F92" s="169">
        <f t="shared" si="40"/>
        <v>1.5</v>
      </c>
      <c r="G92" s="157">
        <v>36</v>
      </c>
      <c r="H92" s="168"/>
      <c r="I92" s="35">
        <v>36</v>
      </c>
      <c r="J92" s="35"/>
      <c r="K92" s="35"/>
      <c r="L92" s="35"/>
      <c r="M92" s="168"/>
      <c r="N92" s="168"/>
      <c r="O92" s="168"/>
      <c r="P92" s="169"/>
      <c r="Q92" s="169"/>
      <c r="R92" s="169">
        <v>18</v>
      </c>
      <c r="S92" s="169">
        <v>18</v>
      </c>
      <c r="T92" s="134"/>
      <c r="U92" s="169"/>
      <c r="V92" s="275"/>
      <c r="X92" s="276"/>
    </row>
    <row r="93" spans="1:24" s="278" customFormat="1" ht="13.5" customHeight="1" x14ac:dyDescent="0.25">
      <c r="A93" s="168" t="s">
        <v>223</v>
      </c>
      <c r="B93" s="156" t="s">
        <v>216</v>
      </c>
      <c r="C93" s="35"/>
      <c r="D93" s="35"/>
      <c r="E93" s="35"/>
      <c r="F93" s="169">
        <f t="shared" si="40"/>
        <v>1</v>
      </c>
      <c r="G93" s="157">
        <v>24</v>
      </c>
      <c r="H93" s="168"/>
      <c r="I93" s="35">
        <v>24</v>
      </c>
      <c r="J93" s="35"/>
      <c r="K93" s="35"/>
      <c r="L93" s="35"/>
      <c r="M93" s="168"/>
      <c r="N93" s="168"/>
      <c r="O93" s="168"/>
      <c r="P93" s="169">
        <v>24</v>
      </c>
      <c r="Q93" s="169"/>
      <c r="R93" s="169"/>
      <c r="S93" s="169"/>
      <c r="T93" s="134"/>
      <c r="U93" s="169"/>
      <c r="V93" s="275"/>
      <c r="X93" s="276"/>
    </row>
    <row r="94" spans="1:24" s="278" customFormat="1" ht="13.5" customHeight="1" x14ac:dyDescent="0.25">
      <c r="A94" s="168" t="s">
        <v>224</v>
      </c>
      <c r="B94" s="156" t="s">
        <v>217</v>
      </c>
      <c r="C94" s="35"/>
      <c r="D94" s="35"/>
      <c r="E94" s="35"/>
      <c r="F94" s="169">
        <f t="shared" si="40"/>
        <v>1</v>
      </c>
      <c r="G94" s="157">
        <v>24</v>
      </c>
      <c r="H94" s="168"/>
      <c r="I94" s="35">
        <v>24</v>
      </c>
      <c r="J94" s="35"/>
      <c r="K94" s="35"/>
      <c r="L94" s="35"/>
      <c r="M94" s="168"/>
      <c r="N94" s="168"/>
      <c r="O94" s="168"/>
      <c r="P94" s="169">
        <v>24</v>
      </c>
      <c r="Q94" s="169"/>
      <c r="R94" s="169"/>
      <c r="S94" s="169"/>
      <c r="T94" s="134"/>
      <c r="U94" s="169"/>
      <c r="V94" s="275"/>
      <c r="X94" s="276"/>
    </row>
    <row r="95" spans="1:24" s="278" customFormat="1" ht="13.5" customHeight="1" x14ac:dyDescent="0.25">
      <c r="A95" s="168" t="s">
        <v>245</v>
      </c>
      <c r="B95" s="156" t="s">
        <v>202</v>
      </c>
      <c r="C95" s="35"/>
      <c r="D95" s="35"/>
      <c r="E95" s="35"/>
      <c r="F95" s="169">
        <f t="shared" si="40"/>
        <v>1</v>
      </c>
      <c r="G95" s="157">
        <v>24</v>
      </c>
      <c r="H95" s="168"/>
      <c r="I95" s="35">
        <v>24</v>
      </c>
      <c r="J95" s="35"/>
      <c r="K95" s="35"/>
      <c r="L95" s="35"/>
      <c r="M95" s="168"/>
      <c r="N95" s="168"/>
      <c r="O95" s="168"/>
      <c r="P95" s="169"/>
      <c r="Q95" s="169"/>
      <c r="R95" s="169"/>
      <c r="S95" s="169"/>
      <c r="T95" s="134">
        <v>24</v>
      </c>
      <c r="U95" s="169"/>
      <c r="V95" s="275"/>
      <c r="X95" s="276"/>
    </row>
    <row r="96" spans="1:24" s="278" customFormat="1" ht="13.5" customHeight="1" x14ac:dyDescent="0.25">
      <c r="A96" s="168" t="s">
        <v>246</v>
      </c>
      <c r="B96" s="156" t="s">
        <v>203</v>
      </c>
      <c r="C96" s="35"/>
      <c r="D96" s="35"/>
      <c r="E96" s="35"/>
      <c r="F96" s="169">
        <f t="shared" si="40"/>
        <v>1</v>
      </c>
      <c r="G96" s="157">
        <v>24</v>
      </c>
      <c r="H96" s="168"/>
      <c r="I96" s="35">
        <v>24</v>
      </c>
      <c r="J96" s="35"/>
      <c r="K96" s="35"/>
      <c r="L96" s="35"/>
      <c r="M96" s="168"/>
      <c r="N96" s="168"/>
      <c r="O96" s="168"/>
      <c r="P96" s="169"/>
      <c r="Q96" s="169"/>
      <c r="R96" s="169"/>
      <c r="S96" s="169"/>
      <c r="T96" s="134">
        <v>24</v>
      </c>
      <c r="U96" s="169"/>
      <c r="V96" s="275"/>
      <c r="X96" s="276"/>
    </row>
    <row r="97" spans="1:24" s="278" customFormat="1" ht="13.5" customHeight="1" x14ac:dyDescent="0.25">
      <c r="A97" s="168" t="s">
        <v>139</v>
      </c>
      <c r="B97" s="35" t="s">
        <v>215</v>
      </c>
      <c r="C97" s="35"/>
      <c r="D97" s="35"/>
      <c r="E97" s="35"/>
      <c r="F97" s="169">
        <f t="shared" si="40"/>
        <v>2</v>
      </c>
      <c r="G97" s="157">
        <v>48</v>
      </c>
      <c r="H97" s="168"/>
      <c r="I97" s="35">
        <v>48</v>
      </c>
      <c r="J97" s="35"/>
      <c r="K97" s="35"/>
      <c r="L97" s="35"/>
      <c r="M97" s="168"/>
      <c r="N97" s="168"/>
      <c r="O97" s="168"/>
      <c r="P97" s="35"/>
      <c r="Q97" s="35">
        <v>24</v>
      </c>
      <c r="R97" s="35">
        <v>24</v>
      </c>
      <c r="S97" s="35"/>
      <c r="T97" s="35"/>
      <c r="U97" s="169"/>
      <c r="V97" s="275"/>
      <c r="X97" s="276"/>
    </row>
    <row r="98" spans="1:24" s="278" customFormat="1" ht="13.5" customHeight="1" x14ac:dyDescent="0.25">
      <c r="A98" s="157" t="s">
        <v>140</v>
      </c>
      <c r="B98" s="35" t="s">
        <v>295</v>
      </c>
      <c r="C98" s="35"/>
      <c r="D98" s="35"/>
      <c r="E98" s="35"/>
      <c r="F98" s="169">
        <f t="shared" si="40"/>
        <v>0.5</v>
      </c>
      <c r="G98" s="157">
        <v>12</v>
      </c>
      <c r="H98" s="168"/>
      <c r="I98" s="35">
        <v>12</v>
      </c>
      <c r="J98" s="35"/>
      <c r="K98" s="35"/>
      <c r="L98" s="35"/>
      <c r="M98" s="168"/>
      <c r="N98" s="168"/>
      <c r="O98" s="168"/>
      <c r="P98" s="35"/>
      <c r="Q98" s="35"/>
      <c r="R98" s="35"/>
      <c r="S98" s="35"/>
      <c r="T98" s="65">
        <v>12</v>
      </c>
      <c r="U98" s="35"/>
      <c r="V98" s="275"/>
      <c r="X98" s="276"/>
    </row>
    <row r="99" spans="1:24" s="73" customFormat="1" x14ac:dyDescent="0.25">
      <c r="A99" s="72"/>
      <c r="B99" s="133" t="s">
        <v>28</v>
      </c>
      <c r="C99" s="301">
        <f ca="1">SUM(C87:C89)</f>
        <v>13</v>
      </c>
      <c r="D99" s="301">
        <f t="shared" ref="D99:U99" ca="1" si="42">SUM(D87:D89)</f>
        <v>56</v>
      </c>
      <c r="E99" s="301">
        <f t="shared" ca="1" si="42"/>
        <v>44</v>
      </c>
      <c r="F99" s="301">
        <f t="shared" si="42"/>
        <v>206</v>
      </c>
      <c r="G99" s="301">
        <f t="shared" si="42"/>
        <v>4944</v>
      </c>
      <c r="H99" s="301">
        <f t="shared" si="42"/>
        <v>1842</v>
      </c>
      <c r="I99" s="301">
        <f t="shared" si="42"/>
        <v>2832</v>
      </c>
      <c r="J99" s="301">
        <f t="shared" ca="1" si="42"/>
        <v>30</v>
      </c>
      <c r="K99" s="301"/>
      <c r="L99" s="301"/>
      <c r="M99" s="301">
        <f t="shared" ca="1" si="42"/>
        <v>1104</v>
      </c>
      <c r="N99" s="301">
        <f t="shared" ca="1" si="42"/>
        <v>576</v>
      </c>
      <c r="O99" s="301"/>
      <c r="P99" s="301">
        <f t="shared" ca="1" si="42"/>
        <v>948</v>
      </c>
      <c r="Q99" s="301">
        <f t="shared" si="42"/>
        <v>722</v>
      </c>
      <c r="R99" s="301">
        <f t="shared" si="42"/>
        <v>958</v>
      </c>
      <c r="S99" s="301">
        <f t="shared" si="42"/>
        <v>698</v>
      </c>
      <c r="T99" s="301">
        <f t="shared" si="42"/>
        <v>958</v>
      </c>
      <c r="U99" s="301">
        <f t="shared" si="42"/>
        <v>660</v>
      </c>
      <c r="V99" s="197"/>
      <c r="X99" s="289"/>
    </row>
    <row r="101" spans="1:24" ht="155.25" customHeight="1" x14ac:dyDescent="0.25"/>
  </sheetData>
  <autoFilter ref="B5:U98" xr:uid="{00000000-0009-0000-0000-000002000000}"/>
  <mergeCells count="31">
    <mergeCell ref="A1:U1"/>
    <mergeCell ref="A2:A4"/>
    <mergeCell ref="B2:B4"/>
    <mergeCell ref="C2:F2"/>
    <mergeCell ref="G2:J2"/>
    <mergeCell ref="K2:K4"/>
    <mergeCell ref="L2:L4"/>
    <mergeCell ref="M2:O2"/>
    <mergeCell ref="P2:U2"/>
    <mergeCell ref="C3:C4"/>
    <mergeCell ref="B15:U15"/>
    <mergeCell ref="D3:D4"/>
    <mergeCell ref="E3:E4"/>
    <mergeCell ref="F3:F4"/>
    <mergeCell ref="G3:G4"/>
    <mergeCell ref="H3:J3"/>
    <mergeCell ref="M3:O3"/>
    <mergeCell ref="P3:Q3"/>
    <mergeCell ref="R3:S3"/>
    <mergeCell ref="T3:U3"/>
    <mergeCell ref="B9:U9"/>
    <mergeCell ref="B12:U12"/>
    <mergeCell ref="B62:U62"/>
    <mergeCell ref="B70:U70"/>
    <mergeCell ref="B77:U77"/>
    <mergeCell ref="B22:U22"/>
    <mergeCell ref="B31:U31"/>
    <mergeCell ref="B35:U35"/>
    <mergeCell ref="B42:U42"/>
    <mergeCell ref="B48:U48"/>
    <mergeCell ref="B53:U53"/>
  </mergeCells>
  <pageMargins left="0.78740157480314965" right="0" top="0" bottom="0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график учебного процесса</vt:lpstr>
      <vt:lpstr>сводные данные</vt:lpstr>
      <vt:lpstr>учебный план</vt:lpstr>
      <vt:lpstr>учебный план, база 11 кл</vt:lpstr>
    </vt:vector>
  </TitlesOfParts>
  <Company>сгтк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user405</dc:creator>
  <cp:lastModifiedBy>Андрей Бубнов</cp:lastModifiedBy>
  <cp:lastPrinted>2025-09-03T11:44:47Z</cp:lastPrinted>
  <dcterms:created xsi:type="dcterms:W3CDTF">2002-12-31T20:25:57Z</dcterms:created>
  <dcterms:modified xsi:type="dcterms:W3CDTF">2026-04-07T09:20:49Z</dcterms:modified>
</cp:coreProperties>
</file>