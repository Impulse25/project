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Мой диск\ПВТ-9-23\"/>
    </mc:Choice>
  </mc:AlternateContent>
  <xr:revisionPtr revIDLastSave="0" documentId="13_ncr:1_{62E29B78-157A-44D9-AD60-80ADC8E23CC9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Паспорт" sheetId="1" r:id="rId1"/>
    <sheet name="Перечень компетенций " sheetId="2" r:id="rId2"/>
    <sheet name="Содержание модулей, дисциплин" sheetId="3" r:id="rId3"/>
    <sheet name="Свод таблица" sheetId="4" r:id="rId4"/>
    <sheet name="матрица" sheetId="5" r:id="rId5"/>
    <sheet name="график учебного процесса (2)" sheetId="10" r:id="rId6"/>
    <sheet name="график учебного процесса" sheetId="6" r:id="rId7"/>
    <sheet name="сводные данные" sheetId="7" r:id="rId8"/>
    <sheet name="учебный план" sheetId="8" r:id="rId9"/>
    <sheet name="учебный план РО" sheetId="9" r:id="rId10"/>
    <sheet name="матрица РО БМ" sheetId="11" r:id="rId11"/>
    <sheet name="матрица РО ПМ" sheetId="13" r:id="rId12"/>
  </sheets>
  <definedNames>
    <definedName name="_xlnm._FilterDatabase" localSheetId="8" hidden="1">'учебный план'!$B$5:$V$126</definedName>
    <definedName name="_xlnm._FilterDatabase" localSheetId="9" hidden="1">'учебный план РО'!$B$5:$V$125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9" i="9" l="1"/>
  <c r="X89" i="9"/>
  <c r="Z96" i="9"/>
  <c r="X96" i="9"/>
  <c r="X28" i="9"/>
  <c r="X29" i="9"/>
  <c r="X78" i="9"/>
  <c r="X77" i="9"/>
  <c r="X76" i="9"/>
  <c r="X75" i="9"/>
  <c r="X74" i="9"/>
  <c r="Z66" i="9"/>
  <c r="Z64" i="9"/>
  <c r="Z65" i="9"/>
  <c r="X65" i="9"/>
  <c r="J16" i="11"/>
  <c r="M16" i="11" s="1"/>
  <c r="K16" i="11"/>
  <c r="L16" i="11"/>
  <c r="I16" i="11"/>
  <c r="AF60" i="13"/>
  <c r="AH60" i="13"/>
  <c r="AI60" i="13"/>
  <c r="AE60" i="13"/>
  <c r="AC60" i="13"/>
  <c r="AD60" i="13"/>
  <c r="AA60" i="13"/>
  <c r="W60" i="13"/>
  <c r="V60" i="13"/>
  <c r="U60" i="13"/>
  <c r="P60" i="13"/>
  <c r="L60" i="13"/>
  <c r="M60" i="13"/>
  <c r="N60" i="13"/>
  <c r="F60" i="13"/>
  <c r="D60" i="13"/>
  <c r="F10" i="11"/>
  <c r="G10" i="11"/>
  <c r="H10" i="11"/>
  <c r="E10" i="11"/>
  <c r="M5" i="11"/>
  <c r="M6" i="11"/>
  <c r="M7" i="11"/>
  <c r="M8" i="11"/>
  <c r="M9" i="11"/>
  <c r="M11" i="11"/>
  <c r="M12" i="11"/>
  <c r="M13" i="11"/>
  <c r="M14" i="11"/>
  <c r="M15" i="11"/>
  <c r="M17" i="11"/>
  <c r="M18" i="11"/>
  <c r="M19" i="11"/>
  <c r="M20" i="11"/>
  <c r="M4" i="11"/>
  <c r="AF54" i="13"/>
  <c r="AG54" i="13"/>
  <c r="AG60" i="13" s="1"/>
  <c r="AH54" i="13"/>
  <c r="AI54" i="13"/>
  <c r="AE54" i="13"/>
  <c r="AC49" i="13"/>
  <c r="AD49" i="13"/>
  <c r="AB49" i="13"/>
  <c r="AB60" i="13" s="1"/>
  <c r="X44" i="13"/>
  <c r="X60" i="13" s="1"/>
  <c r="Y44" i="13"/>
  <c r="Y60" i="13" s="1"/>
  <c r="Z44" i="13"/>
  <c r="Z60" i="13" s="1"/>
  <c r="AA44" i="13"/>
  <c r="W44" i="13"/>
  <c r="V39" i="13"/>
  <c r="AJ39" i="13" s="1"/>
  <c r="U32" i="13"/>
  <c r="AJ32" i="13" s="1"/>
  <c r="S27" i="13"/>
  <c r="S60" i="13" s="1"/>
  <c r="T27" i="13"/>
  <c r="R27" i="13"/>
  <c r="R60" i="13" s="1"/>
  <c r="Q22" i="13"/>
  <c r="Q60" i="13" s="1"/>
  <c r="P22" i="13"/>
  <c r="AJ22" i="13" s="1"/>
  <c r="O17" i="13"/>
  <c r="O60" i="13" s="1"/>
  <c r="L17" i="13"/>
  <c r="M17" i="13"/>
  <c r="N17" i="13"/>
  <c r="K17" i="13"/>
  <c r="K60" i="13" s="1"/>
  <c r="J13" i="13"/>
  <c r="AJ13" i="13" s="1"/>
  <c r="AJ5" i="13"/>
  <c r="AJ6" i="13"/>
  <c r="AJ7" i="13"/>
  <c r="AJ9" i="13"/>
  <c r="AJ10" i="13"/>
  <c r="AJ11" i="13"/>
  <c r="AJ12" i="13"/>
  <c r="AJ14" i="13"/>
  <c r="AJ15" i="13"/>
  <c r="AJ16" i="13"/>
  <c r="AJ18" i="13"/>
  <c r="AJ19" i="13"/>
  <c r="AJ20" i="13"/>
  <c r="AJ21" i="13"/>
  <c r="AJ23" i="13"/>
  <c r="AJ24" i="13"/>
  <c r="AJ25" i="13"/>
  <c r="AJ26" i="13"/>
  <c r="AJ28" i="13"/>
  <c r="AJ29" i="13"/>
  <c r="AJ30" i="13"/>
  <c r="AJ31" i="13"/>
  <c r="AJ33" i="13"/>
  <c r="AJ34" i="13"/>
  <c r="AJ35" i="13"/>
  <c r="AJ36" i="13"/>
  <c r="AJ37" i="13"/>
  <c r="AJ38" i="13"/>
  <c r="AJ40" i="13"/>
  <c r="AJ41" i="13"/>
  <c r="AJ42" i="13"/>
  <c r="AJ43" i="13"/>
  <c r="AJ45" i="13"/>
  <c r="AJ46" i="13"/>
  <c r="AJ47" i="13"/>
  <c r="AJ48" i="13"/>
  <c r="AJ50" i="13"/>
  <c r="AJ51" i="13"/>
  <c r="AJ52" i="13"/>
  <c r="AJ53" i="13"/>
  <c r="AJ55" i="13"/>
  <c r="AJ56" i="13"/>
  <c r="AJ57" i="13"/>
  <c r="AJ58" i="13"/>
  <c r="AJ59" i="13"/>
  <c r="G8" i="13"/>
  <c r="AJ8" i="13" s="1"/>
  <c r="H8" i="13"/>
  <c r="H60" i="13" s="1"/>
  <c r="I8" i="13"/>
  <c r="I60" i="13" s="1"/>
  <c r="F8" i="13"/>
  <c r="D4" i="13"/>
  <c r="E4" i="13"/>
  <c r="E60" i="13" s="1"/>
  <c r="C4" i="13"/>
  <c r="C60" i="13" s="1"/>
  <c r="AJ60" i="13" l="1"/>
  <c r="AJ27" i="13"/>
  <c r="AJ17" i="13"/>
  <c r="M10" i="11"/>
  <c r="M21" i="11" s="1"/>
  <c r="AJ4" i="13"/>
  <c r="G60" i="13"/>
  <c r="AJ44" i="13"/>
  <c r="AJ49" i="13"/>
  <c r="J60" i="13"/>
  <c r="T60" i="13"/>
  <c r="AJ54" i="13"/>
  <c r="G33" i="8"/>
  <c r="F83" i="9" l="1"/>
  <c r="F82" i="9"/>
  <c r="F81" i="9"/>
  <c r="F78" i="9"/>
  <c r="F77" i="9"/>
  <c r="F76" i="9"/>
  <c r="F75" i="9"/>
  <c r="F74" i="9"/>
  <c r="F73" i="9"/>
  <c r="F69" i="9"/>
  <c r="X64" i="9"/>
  <c r="G62" i="9"/>
  <c r="F65" i="9"/>
  <c r="F64" i="9"/>
  <c r="F50" i="9"/>
  <c r="F49" i="9"/>
  <c r="F35" i="9" l="1"/>
  <c r="I32" i="9"/>
  <c r="D104" i="9"/>
  <c r="E104" i="9"/>
  <c r="C104" i="9"/>
  <c r="G98" i="9"/>
  <c r="D98" i="9"/>
  <c r="E98" i="9"/>
  <c r="C98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V79" i="9"/>
  <c r="D79" i="9"/>
  <c r="E79" i="9"/>
  <c r="C79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F72" i="9"/>
  <c r="E72" i="9"/>
  <c r="C72" i="9"/>
  <c r="D72" i="9"/>
  <c r="J52" i="9"/>
  <c r="L48" i="9"/>
  <c r="M48" i="9"/>
  <c r="N48" i="9"/>
  <c r="O48" i="9"/>
  <c r="P48" i="9"/>
  <c r="Q48" i="9"/>
  <c r="R48" i="9"/>
  <c r="S48" i="9"/>
  <c r="T48" i="9"/>
  <c r="U48" i="9"/>
  <c r="V48" i="9"/>
  <c r="K48" i="9"/>
  <c r="J48" i="9"/>
  <c r="I48" i="9"/>
  <c r="H48" i="9"/>
  <c r="G48" i="9"/>
  <c r="E48" i="9"/>
  <c r="D48" i="9"/>
  <c r="C48" i="9"/>
  <c r="H43" i="9"/>
  <c r="G43" i="9"/>
  <c r="E43" i="9"/>
  <c r="D43" i="9"/>
  <c r="C43" i="9"/>
  <c r="M39" i="9"/>
  <c r="H39" i="9"/>
  <c r="G39" i="9"/>
  <c r="E39" i="9"/>
  <c r="D39" i="9"/>
  <c r="C39" i="9"/>
  <c r="R33" i="9"/>
  <c r="H33" i="9"/>
  <c r="G33" i="9"/>
  <c r="E33" i="9"/>
  <c r="D33" i="9"/>
  <c r="C33" i="9"/>
  <c r="V30" i="9"/>
  <c r="U30" i="9"/>
  <c r="T30" i="9"/>
  <c r="S30" i="9"/>
  <c r="R30" i="9"/>
  <c r="Q30" i="9"/>
  <c r="P30" i="9"/>
  <c r="O30" i="9"/>
  <c r="M30" i="9"/>
  <c r="J30" i="9"/>
  <c r="H30" i="9"/>
  <c r="G30" i="9"/>
  <c r="E30" i="9"/>
  <c r="D30" i="9"/>
  <c r="C30" i="9"/>
  <c r="Q27" i="9"/>
  <c r="R27" i="9"/>
  <c r="S27" i="9"/>
  <c r="T27" i="9"/>
  <c r="U27" i="9"/>
  <c r="V27" i="9"/>
  <c r="P27" i="9"/>
  <c r="O27" i="9"/>
  <c r="I27" i="9"/>
  <c r="G27" i="9"/>
  <c r="H27" i="9"/>
  <c r="E27" i="9"/>
  <c r="D27" i="9"/>
  <c r="C27" i="9"/>
  <c r="X130" i="9"/>
  <c r="X128" i="9"/>
  <c r="F128" i="9"/>
  <c r="X127" i="9"/>
  <c r="F127" i="9"/>
  <c r="X126" i="9"/>
  <c r="F126" i="9"/>
  <c r="X125" i="9"/>
  <c r="F125" i="9"/>
  <c r="X124" i="9"/>
  <c r="F124" i="9"/>
  <c r="X123" i="9"/>
  <c r="F123" i="9"/>
  <c r="X122" i="9"/>
  <c r="F122" i="9"/>
  <c r="X121" i="9"/>
  <c r="F121" i="9"/>
  <c r="X120" i="9"/>
  <c r="F120" i="9"/>
  <c r="X119" i="9"/>
  <c r="F119" i="9"/>
  <c r="X118" i="9"/>
  <c r="F118" i="9"/>
  <c r="X117" i="9"/>
  <c r="F117" i="9"/>
  <c r="X116" i="9"/>
  <c r="V115" i="9"/>
  <c r="V129" i="9" s="1"/>
  <c r="U115" i="9"/>
  <c r="U129" i="9" s="1"/>
  <c r="T115" i="9"/>
  <c r="T129" i="9" s="1"/>
  <c r="S115" i="9"/>
  <c r="S129" i="9" s="1"/>
  <c r="R115" i="9"/>
  <c r="Q115" i="9"/>
  <c r="P115" i="9"/>
  <c r="O115" i="9"/>
  <c r="I115" i="9"/>
  <c r="H115" i="9"/>
  <c r="G115" i="9"/>
  <c r="F115" i="9" s="1"/>
  <c r="X114" i="9"/>
  <c r="F114" i="9"/>
  <c r="X111" i="9"/>
  <c r="F111" i="9"/>
  <c r="Z110" i="9"/>
  <c r="X110" i="9"/>
  <c r="F110" i="9"/>
  <c r="Z109" i="9"/>
  <c r="X109" i="9"/>
  <c r="Z108" i="9"/>
  <c r="X108" i="9"/>
  <c r="F108" i="9"/>
  <c r="Z107" i="9"/>
  <c r="X107" i="9"/>
  <c r="F107" i="9"/>
  <c r="Z106" i="9"/>
  <c r="X106" i="9"/>
  <c r="F106" i="9"/>
  <c r="Z105" i="9"/>
  <c r="X105" i="9"/>
  <c r="F105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Z103" i="9"/>
  <c r="X103" i="9"/>
  <c r="F103" i="9"/>
  <c r="Z102" i="9"/>
  <c r="X102" i="9"/>
  <c r="F102" i="9"/>
  <c r="Z101" i="9"/>
  <c r="X101" i="9"/>
  <c r="F101" i="9"/>
  <c r="Z100" i="9"/>
  <c r="X100" i="9"/>
  <c r="F100" i="9"/>
  <c r="Z99" i="9"/>
  <c r="X99" i="9"/>
  <c r="F99" i="9"/>
  <c r="V98" i="9"/>
  <c r="U98" i="9"/>
  <c r="T98" i="9"/>
  <c r="S98" i="9"/>
  <c r="R98" i="9"/>
  <c r="Q98" i="9"/>
  <c r="P98" i="9"/>
  <c r="O98" i="9"/>
  <c r="M98" i="9"/>
  <c r="L98" i="9"/>
  <c r="K98" i="9"/>
  <c r="J98" i="9"/>
  <c r="I98" i="9"/>
  <c r="H98" i="9"/>
  <c r="Z97" i="9"/>
  <c r="X97" i="9"/>
  <c r="Z95" i="9"/>
  <c r="X95" i="9"/>
  <c r="Z94" i="9"/>
  <c r="X94" i="9"/>
  <c r="V93" i="9"/>
  <c r="V112" i="9" s="1"/>
  <c r="U93" i="9"/>
  <c r="U112" i="9" s="1"/>
  <c r="T93" i="9"/>
  <c r="S93" i="9"/>
  <c r="R93" i="9"/>
  <c r="Q93" i="9"/>
  <c r="P93" i="9"/>
  <c r="O93" i="9"/>
  <c r="N93" i="9"/>
  <c r="N112" i="9" s="1"/>
  <c r="N113" i="9" s="1"/>
  <c r="N129" i="9" s="1"/>
  <c r="M93" i="9"/>
  <c r="L93" i="9"/>
  <c r="K93" i="9"/>
  <c r="J93" i="9"/>
  <c r="I93" i="9"/>
  <c r="H93" i="9"/>
  <c r="G93" i="9"/>
  <c r="F93" i="9"/>
  <c r="E93" i="9"/>
  <c r="D93" i="9"/>
  <c r="C93" i="9"/>
  <c r="Z92" i="9"/>
  <c r="X92" i="9"/>
  <c r="F92" i="9"/>
  <c r="Z91" i="9"/>
  <c r="X91" i="9"/>
  <c r="F91" i="9"/>
  <c r="V90" i="9"/>
  <c r="U90" i="9"/>
  <c r="T90" i="9"/>
  <c r="S90" i="9"/>
  <c r="R90" i="9"/>
  <c r="Q90" i="9"/>
  <c r="P90" i="9"/>
  <c r="O90" i="9"/>
  <c r="M90" i="9"/>
  <c r="L90" i="9"/>
  <c r="K90" i="9"/>
  <c r="J90" i="9"/>
  <c r="I90" i="9"/>
  <c r="H90" i="9"/>
  <c r="G90" i="9"/>
  <c r="E90" i="9"/>
  <c r="D90" i="9"/>
  <c r="C90" i="9"/>
  <c r="Z88" i="9"/>
  <c r="X88" i="9"/>
  <c r="F88" i="9"/>
  <c r="F87" i="9"/>
  <c r="Z86" i="9"/>
  <c r="X86" i="9"/>
  <c r="F86" i="9"/>
  <c r="Z85" i="9"/>
  <c r="X85" i="9"/>
  <c r="F85" i="9"/>
  <c r="V84" i="9"/>
  <c r="U84" i="9"/>
  <c r="T84" i="9"/>
  <c r="S84" i="9"/>
  <c r="R84" i="9"/>
  <c r="Q84" i="9"/>
  <c r="P84" i="9"/>
  <c r="O84" i="9"/>
  <c r="M84" i="9"/>
  <c r="L84" i="9"/>
  <c r="K84" i="9"/>
  <c r="J84" i="9"/>
  <c r="I84" i="9"/>
  <c r="H84" i="9"/>
  <c r="G84" i="9"/>
  <c r="C84" i="9"/>
  <c r="F80" i="9"/>
  <c r="F79" i="9" s="1"/>
  <c r="Z73" i="9"/>
  <c r="X73" i="9"/>
  <c r="Z71" i="9"/>
  <c r="X71" i="9"/>
  <c r="F71" i="9"/>
  <c r="Z69" i="9"/>
  <c r="X69" i="9"/>
  <c r="F70" i="9"/>
  <c r="Z68" i="9"/>
  <c r="X68" i="9"/>
  <c r="F68" i="9"/>
  <c r="V67" i="9"/>
  <c r="U67" i="9"/>
  <c r="T67" i="9"/>
  <c r="S67" i="9"/>
  <c r="R67" i="9"/>
  <c r="Q67" i="9"/>
  <c r="P67" i="9"/>
  <c r="O67" i="9"/>
  <c r="M67" i="9"/>
  <c r="L67" i="9"/>
  <c r="K67" i="9"/>
  <c r="J67" i="9"/>
  <c r="I67" i="9"/>
  <c r="H67" i="9"/>
  <c r="G67" i="9"/>
  <c r="E67" i="9"/>
  <c r="D67" i="9"/>
  <c r="C67" i="9"/>
  <c r="X66" i="9"/>
  <c r="F66" i="9"/>
  <c r="Z63" i="9"/>
  <c r="X63" i="9"/>
  <c r="F63" i="9"/>
  <c r="V62" i="9"/>
  <c r="U62" i="9"/>
  <c r="T62" i="9"/>
  <c r="S62" i="9"/>
  <c r="R62" i="9"/>
  <c r="Q62" i="9"/>
  <c r="P62" i="9"/>
  <c r="O62" i="9"/>
  <c r="M62" i="9"/>
  <c r="L62" i="9"/>
  <c r="K62" i="9"/>
  <c r="J62" i="9"/>
  <c r="I62" i="9"/>
  <c r="H62" i="9"/>
  <c r="E62" i="9"/>
  <c r="D62" i="9"/>
  <c r="C62" i="9"/>
  <c r="Z61" i="9"/>
  <c r="X61" i="9"/>
  <c r="F61" i="9"/>
  <c r="Z60" i="9"/>
  <c r="X60" i="9"/>
  <c r="F60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E59" i="9"/>
  <c r="D59" i="9"/>
  <c r="C59" i="9"/>
  <c r="X57" i="9"/>
  <c r="F55" i="9"/>
  <c r="F56" i="9"/>
  <c r="F54" i="9"/>
  <c r="F53" i="9"/>
  <c r="V52" i="9"/>
  <c r="U52" i="9"/>
  <c r="T52" i="9"/>
  <c r="R52" i="9"/>
  <c r="Q52" i="9"/>
  <c r="P52" i="9"/>
  <c r="O52" i="9"/>
  <c r="N52" i="9"/>
  <c r="M52" i="9"/>
  <c r="L52" i="9"/>
  <c r="K52" i="9"/>
  <c r="I52" i="9"/>
  <c r="H52" i="9"/>
  <c r="G52" i="9"/>
  <c r="E52" i="9"/>
  <c r="C52" i="9"/>
  <c r="X51" i="9"/>
  <c r="F51" i="9"/>
  <c r="F48" i="9" s="1"/>
  <c r="X47" i="9"/>
  <c r="X46" i="9"/>
  <c r="X45" i="9"/>
  <c r="F45" i="9"/>
  <c r="F43" i="9" s="1"/>
  <c r="X44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X42" i="9"/>
  <c r="F42" i="9"/>
  <c r="X41" i="9"/>
  <c r="F41" i="9"/>
  <c r="X40" i="9"/>
  <c r="F40" i="9"/>
  <c r="V39" i="9"/>
  <c r="U39" i="9"/>
  <c r="T39" i="9"/>
  <c r="S39" i="9"/>
  <c r="R39" i="9"/>
  <c r="Q39" i="9"/>
  <c r="P39" i="9"/>
  <c r="O39" i="9"/>
  <c r="N39" i="9"/>
  <c r="L39" i="9"/>
  <c r="K39" i="9"/>
  <c r="J39" i="9"/>
  <c r="I39" i="9"/>
  <c r="X38" i="9"/>
  <c r="I38" i="9"/>
  <c r="F38" i="9"/>
  <c r="X37" i="9"/>
  <c r="I37" i="9"/>
  <c r="F37" i="9"/>
  <c r="X36" i="9"/>
  <c r="I36" i="9"/>
  <c r="F36" i="9"/>
  <c r="X34" i="9"/>
  <c r="F34" i="9"/>
  <c r="V33" i="9"/>
  <c r="U33" i="9"/>
  <c r="T33" i="9"/>
  <c r="S33" i="9"/>
  <c r="Q33" i="9"/>
  <c r="P33" i="9"/>
  <c r="O33" i="9"/>
  <c r="N33" i="9"/>
  <c r="M33" i="9"/>
  <c r="L33" i="9"/>
  <c r="K33" i="9"/>
  <c r="J33" i="9"/>
  <c r="X32" i="9"/>
  <c r="I30" i="9"/>
  <c r="F32" i="9"/>
  <c r="F30" i="9" s="1"/>
  <c r="M27" i="9"/>
  <c r="J27" i="9"/>
  <c r="P26" i="9"/>
  <c r="O26" i="9"/>
  <c r="L26" i="9"/>
  <c r="K26" i="9"/>
  <c r="I26" i="9"/>
  <c r="H26" i="9"/>
  <c r="G26" i="9"/>
  <c r="E26" i="9"/>
  <c r="D26" i="9"/>
  <c r="C26" i="9"/>
  <c r="X25" i="9"/>
  <c r="F25" i="9"/>
  <c r="X24" i="9"/>
  <c r="F24" i="9"/>
  <c r="X23" i="9"/>
  <c r="F23" i="9"/>
  <c r="X22" i="9"/>
  <c r="X21" i="9"/>
  <c r="F21" i="9"/>
  <c r="X20" i="9"/>
  <c r="F20" i="9"/>
  <c r="X19" i="9"/>
  <c r="X18" i="9"/>
  <c r="F18" i="9"/>
  <c r="X17" i="9"/>
  <c r="F17" i="9"/>
  <c r="X16" i="9"/>
  <c r="F16" i="9"/>
  <c r="X15" i="9"/>
  <c r="F15" i="9"/>
  <c r="X14" i="9"/>
  <c r="F14" i="9"/>
  <c r="X13" i="9"/>
  <c r="F13" i="9"/>
  <c r="X12" i="9"/>
  <c r="F12" i="9"/>
  <c r="X11" i="9"/>
  <c r="F11" i="9"/>
  <c r="X10" i="9"/>
  <c r="F10" i="9"/>
  <c r="P8" i="9"/>
  <c r="O8" i="9"/>
  <c r="X67" i="9" l="1"/>
  <c r="F33" i="9"/>
  <c r="F39" i="9"/>
  <c r="I33" i="9"/>
  <c r="F98" i="9"/>
  <c r="X72" i="9"/>
  <c r="F62" i="9"/>
  <c r="Z79" i="9"/>
  <c r="Z72" i="9"/>
  <c r="X26" i="9"/>
  <c r="G112" i="9"/>
  <c r="P112" i="9"/>
  <c r="L112" i="9"/>
  <c r="F90" i="9"/>
  <c r="U8" i="9"/>
  <c r="Z67" i="9"/>
  <c r="F52" i="9"/>
  <c r="X43" i="9"/>
  <c r="E58" i="9"/>
  <c r="L58" i="9"/>
  <c r="X33" i="9"/>
  <c r="M89" i="9"/>
  <c r="Z84" i="9"/>
  <c r="O89" i="9"/>
  <c r="D89" i="9"/>
  <c r="Z62" i="9"/>
  <c r="D112" i="9"/>
  <c r="M112" i="9"/>
  <c r="H112" i="9"/>
  <c r="Q112" i="9"/>
  <c r="X104" i="9"/>
  <c r="T58" i="9"/>
  <c r="T89" i="9" s="1"/>
  <c r="T8" i="9" s="1"/>
  <c r="F59" i="9"/>
  <c r="E89" i="9"/>
  <c r="C89" i="9"/>
  <c r="L89" i="9"/>
  <c r="E112" i="9"/>
  <c r="O112" i="9"/>
  <c r="V58" i="9"/>
  <c r="V8" i="9" s="1"/>
  <c r="O58" i="9"/>
  <c r="J89" i="9"/>
  <c r="P58" i="9"/>
  <c r="J58" i="9"/>
  <c r="Q58" i="9"/>
  <c r="Q8" i="9" s="1"/>
  <c r="G89" i="9"/>
  <c r="X30" i="9"/>
  <c r="R89" i="9"/>
  <c r="X84" i="9"/>
  <c r="X115" i="9"/>
  <c r="H58" i="9"/>
  <c r="G58" i="9"/>
  <c r="K89" i="9"/>
  <c r="M58" i="9"/>
  <c r="R58" i="9"/>
  <c r="R8" i="9" s="1"/>
  <c r="X48" i="9"/>
  <c r="K112" i="9"/>
  <c r="T112" i="9"/>
  <c r="X93" i="9"/>
  <c r="I58" i="9"/>
  <c r="I112" i="9"/>
  <c r="X27" i="9"/>
  <c r="S58" i="9"/>
  <c r="S89" i="9" s="1"/>
  <c r="S8" i="9" s="1"/>
  <c r="K58" i="9"/>
  <c r="X62" i="9"/>
  <c r="C112" i="9"/>
  <c r="F104" i="9"/>
  <c r="F84" i="9"/>
  <c r="F26" i="9"/>
  <c r="F67" i="9"/>
  <c r="X90" i="9"/>
  <c r="R112" i="9"/>
  <c r="C58" i="9"/>
  <c r="U58" i="9"/>
  <c r="X39" i="9"/>
  <c r="H89" i="9"/>
  <c r="P89" i="9"/>
  <c r="J112" i="9"/>
  <c r="S112" i="9"/>
  <c r="Z98" i="9"/>
  <c r="D58" i="9"/>
  <c r="X59" i="9"/>
  <c r="Q89" i="9"/>
  <c r="Z90" i="9"/>
  <c r="H26" i="8"/>
  <c r="I26" i="8"/>
  <c r="G26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10" i="8"/>
  <c r="F24" i="8"/>
  <c r="F23" i="8"/>
  <c r="F21" i="8"/>
  <c r="F20" i="8"/>
  <c r="F18" i="8"/>
  <c r="F17" i="8"/>
  <c r="F16" i="8"/>
  <c r="F15" i="8"/>
  <c r="F14" i="8"/>
  <c r="F13" i="8"/>
  <c r="F12" i="8"/>
  <c r="F11" i="8"/>
  <c r="F10" i="8"/>
  <c r="E113" i="9" l="1"/>
  <c r="E129" i="9" s="1"/>
  <c r="F58" i="9"/>
  <c r="F113" i="9" s="1"/>
  <c r="F129" i="9" s="1"/>
  <c r="L113" i="9"/>
  <c r="G113" i="9"/>
  <c r="G129" i="9" s="1"/>
  <c r="P113" i="9"/>
  <c r="P129" i="9" s="1"/>
  <c r="O113" i="9"/>
  <c r="O129" i="9" s="1"/>
  <c r="M113" i="9"/>
  <c r="M129" i="9" s="1"/>
  <c r="D113" i="9"/>
  <c r="D129" i="9" s="1"/>
  <c r="J113" i="9"/>
  <c r="J129" i="9" s="1"/>
  <c r="K113" i="9"/>
  <c r="X112" i="9"/>
  <c r="Z58" i="9"/>
  <c r="H113" i="9"/>
  <c r="H129" i="9" s="1"/>
  <c r="I89" i="9"/>
  <c r="I113" i="9" s="1"/>
  <c r="I129" i="9" s="1"/>
  <c r="C113" i="9"/>
  <c r="C129" i="9" s="1"/>
  <c r="X58" i="9"/>
  <c r="Q113" i="9"/>
  <c r="Q129" i="9" s="1"/>
  <c r="R113" i="9"/>
  <c r="R129" i="9" s="1"/>
  <c r="X26" i="8"/>
  <c r="X129" i="9" l="1"/>
  <c r="X113" i="9"/>
  <c r="Z113" i="9"/>
  <c r="X131" i="8"/>
  <c r="X129" i="8"/>
  <c r="F129" i="8"/>
  <c r="X128" i="8"/>
  <c r="F128" i="8"/>
  <c r="X127" i="8"/>
  <c r="F127" i="8"/>
  <c r="X126" i="8"/>
  <c r="F126" i="8"/>
  <c r="X125" i="8"/>
  <c r="F125" i="8"/>
  <c r="X124" i="8"/>
  <c r="F124" i="8"/>
  <c r="X123" i="8"/>
  <c r="F123" i="8"/>
  <c r="X122" i="8"/>
  <c r="F122" i="8"/>
  <c r="X121" i="8"/>
  <c r="F121" i="8"/>
  <c r="X120" i="8"/>
  <c r="F120" i="8"/>
  <c r="X119" i="8"/>
  <c r="F119" i="8"/>
  <c r="X118" i="8"/>
  <c r="F118" i="8"/>
  <c r="X117" i="8"/>
  <c r="V116" i="8"/>
  <c r="V130" i="8" s="1"/>
  <c r="U116" i="8"/>
  <c r="U130" i="8" s="1"/>
  <c r="T116" i="8"/>
  <c r="T130" i="8" s="1"/>
  <c r="S116" i="8"/>
  <c r="S130" i="8" s="1"/>
  <c r="R116" i="8"/>
  <c r="Q116" i="8"/>
  <c r="P116" i="8"/>
  <c r="O116" i="8"/>
  <c r="I116" i="8"/>
  <c r="H116" i="8"/>
  <c r="G116" i="8"/>
  <c r="F116" i="8" s="1"/>
  <c r="X115" i="8"/>
  <c r="F115" i="8"/>
  <c r="X112" i="8"/>
  <c r="F112" i="8"/>
  <c r="Z111" i="8"/>
  <c r="X111" i="8"/>
  <c r="F111" i="8"/>
  <c r="Z110" i="8"/>
  <c r="X110" i="8"/>
  <c r="Z109" i="8"/>
  <c r="X109" i="8"/>
  <c r="F109" i="8"/>
  <c r="Z108" i="8"/>
  <c r="X108" i="8"/>
  <c r="F108" i="8"/>
  <c r="Z107" i="8"/>
  <c r="X107" i="8"/>
  <c r="F107" i="8"/>
  <c r="Z106" i="8"/>
  <c r="X106" i="8"/>
  <c r="F106" i="8"/>
  <c r="X105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Z103" i="8"/>
  <c r="X103" i="8"/>
  <c r="F103" i="8"/>
  <c r="Z102" i="8"/>
  <c r="X102" i="8"/>
  <c r="F102" i="8"/>
  <c r="Z101" i="8"/>
  <c r="X101" i="8"/>
  <c r="F101" i="8"/>
  <c r="Z100" i="8"/>
  <c r="X100" i="8"/>
  <c r="F100" i="8"/>
  <c r="Z99" i="8"/>
  <c r="X99" i="8"/>
  <c r="F99" i="8"/>
  <c r="Z98" i="8"/>
  <c r="V97" i="8"/>
  <c r="U97" i="8"/>
  <c r="T97" i="8"/>
  <c r="S97" i="8"/>
  <c r="R97" i="8"/>
  <c r="Q97" i="8"/>
  <c r="P97" i="8"/>
  <c r="O97" i="8"/>
  <c r="M97" i="8"/>
  <c r="L97" i="8"/>
  <c r="K97" i="8"/>
  <c r="J97" i="8"/>
  <c r="I97" i="8"/>
  <c r="H97" i="8"/>
  <c r="G97" i="8"/>
  <c r="E97" i="8"/>
  <c r="D97" i="8"/>
  <c r="C97" i="8"/>
  <c r="Z96" i="8"/>
  <c r="X96" i="8"/>
  <c r="Z95" i="8"/>
  <c r="X95" i="8"/>
  <c r="Z94" i="8"/>
  <c r="X94" i="8"/>
  <c r="X93" i="8"/>
  <c r="V92" i="8"/>
  <c r="U92" i="8"/>
  <c r="T92" i="8"/>
  <c r="S92" i="8"/>
  <c r="R92" i="8"/>
  <c r="Q92" i="8"/>
  <c r="P92" i="8"/>
  <c r="O92" i="8"/>
  <c r="N92" i="8"/>
  <c r="N113" i="8" s="1"/>
  <c r="N114" i="8" s="1"/>
  <c r="N130" i="8" s="1"/>
  <c r="M92" i="8"/>
  <c r="L92" i="8"/>
  <c r="K92" i="8"/>
  <c r="J92" i="8"/>
  <c r="I92" i="8"/>
  <c r="H92" i="8"/>
  <c r="G92" i="8"/>
  <c r="F92" i="8"/>
  <c r="E92" i="8"/>
  <c r="D92" i="8"/>
  <c r="C92" i="8"/>
  <c r="Z91" i="8"/>
  <c r="X91" i="8"/>
  <c r="F91" i="8"/>
  <c r="Z90" i="8"/>
  <c r="X90" i="8"/>
  <c r="F90" i="8"/>
  <c r="Z89" i="8"/>
  <c r="X89" i="8"/>
  <c r="V88" i="8"/>
  <c r="U88" i="8"/>
  <c r="T88" i="8"/>
  <c r="S88" i="8"/>
  <c r="S113" i="8" s="1"/>
  <c r="R88" i="8"/>
  <c r="Q88" i="8"/>
  <c r="P88" i="8"/>
  <c r="O88" i="8"/>
  <c r="M88" i="8"/>
  <c r="L88" i="8"/>
  <c r="K88" i="8"/>
  <c r="J88" i="8"/>
  <c r="I88" i="8"/>
  <c r="H88" i="8"/>
  <c r="G88" i="8"/>
  <c r="E88" i="8"/>
  <c r="D88" i="8"/>
  <c r="C88" i="8"/>
  <c r="Z86" i="8"/>
  <c r="X86" i="8"/>
  <c r="F86" i="8"/>
  <c r="F85" i="8"/>
  <c r="Z84" i="8"/>
  <c r="X84" i="8"/>
  <c r="F84" i="8"/>
  <c r="Z83" i="8"/>
  <c r="X83" i="8"/>
  <c r="F83" i="8"/>
  <c r="F80" i="8" s="1"/>
  <c r="Z82" i="8"/>
  <c r="X82" i="8"/>
  <c r="F82" i="8"/>
  <c r="Z81" i="8"/>
  <c r="X81" i="8"/>
  <c r="V80" i="8"/>
  <c r="U80" i="8"/>
  <c r="T80" i="8"/>
  <c r="S80" i="8"/>
  <c r="R80" i="8"/>
  <c r="Q80" i="8"/>
  <c r="P80" i="8"/>
  <c r="O80" i="8"/>
  <c r="M80" i="8"/>
  <c r="L80" i="8"/>
  <c r="K80" i="8"/>
  <c r="J80" i="8"/>
  <c r="I80" i="8"/>
  <c r="H80" i="8"/>
  <c r="G80" i="8"/>
  <c r="E80" i="8"/>
  <c r="D80" i="8"/>
  <c r="C80" i="8"/>
  <c r="F79" i="8"/>
  <c r="Z77" i="8"/>
  <c r="Z76" i="8"/>
  <c r="X76" i="8"/>
  <c r="Z75" i="8"/>
  <c r="X75" i="8"/>
  <c r="Z74" i="8"/>
  <c r="X74" i="8"/>
  <c r="Z73" i="8"/>
  <c r="X73" i="8"/>
  <c r="F73" i="8"/>
  <c r="Z72" i="8"/>
  <c r="X72" i="8"/>
  <c r="F72" i="8"/>
  <c r="F69" i="8" s="1"/>
  <c r="Z71" i="8"/>
  <c r="X71" i="8"/>
  <c r="F71" i="8"/>
  <c r="Z70" i="8"/>
  <c r="X70" i="8"/>
  <c r="V69" i="8"/>
  <c r="U69" i="8"/>
  <c r="T69" i="8"/>
  <c r="S69" i="8"/>
  <c r="R69" i="8"/>
  <c r="Q69" i="8"/>
  <c r="P69" i="8"/>
  <c r="O69" i="8"/>
  <c r="M69" i="8"/>
  <c r="L69" i="8"/>
  <c r="K69" i="8"/>
  <c r="J69" i="8"/>
  <c r="I69" i="8"/>
  <c r="H69" i="8"/>
  <c r="G69" i="8"/>
  <c r="E69" i="8"/>
  <c r="D69" i="8"/>
  <c r="C69" i="8"/>
  <c r="Z68" i="8"/>
  <c r="X68" i="8"/>
  <c r="F68" i="8"/>
  <c r="Z67" i="8"/>
  <c r="X67" i="8"/>
  <c r="F67" i="8"/>
  <c r="Z66" i="8"/>
  <c r="X66" i="8"/>
  <c r="V65" i="8"/>
  <c r="U65" i="8"/>
  <c r="T65" i="8"/>
  <c r="S65" i="8"/>
  <c r="R65" i="8"/>
  <c r="Q65" i="8"/>
  <c r="P65" i="8"/>
  <c r="O65" i="8"/>
  <c r="M65" i="8"/>
  <c r="L65" i="8"/>
  <c r="K65" i="8"/>
  <c r="J65" i="8"/>
  <c r="I65" i="8"/>
  <c r="H65" i="8"/>
  <c r="G65" i="8"/>
  <c r="E65" i="8"/>
  <c r="D65" i="8"/>
  <c r="C65" i="8"/>
  <c r="Z64" i="8"/>
  <c r="X64" i="8"/>
  <c r="F64" i="8"/>
  <c r="Z63" i="8"/>
  <c r="X63" i="8"/>
  <c r="F63" i="8"/>
  <c r="F61" i="8" s="1"/>
  <c r="X62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E61" i="8"/>
  <c r="D61" i="8"/>
  <c r="C61" i="8"/>
  <c r="X59" i="8"/>
  <c r="F58" i="8"/>
  <c r="F57" i="8"/>
  <c r="F56" i="8"/>
  <c r="F55" i="8"/>
  <c r="V53" i="8"/>
  <c r="U53" i="8"/>
  <c r="T53" i="8"/>
  <c r="R53" i="8"/>
  <c r="Q53" i="8"/>
  <c r="P53" i="8"/>
  <c r="O53" i="8"/>
  <c r="N53" i="8"/>
  <c r="M53" i="8"/>
  <c r="L53" i="8"/>
  <c r="K53" i="8"/>
  <c r="J53" i="8"/>
  <c r="I53" i="8"/>
  <c r="H53" i="8"/>
  <c r="G53" i="8"/>
  <c r="E53" i="8"/>
  <c r="D53" i="8"/>
  <c r="C53" i="8"/>
  <c r="X52" i="8"/>
  <c r="F52" i="8"/>
  <c r="F50" i="8" s="1"/>
  <c r="X51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E50" i="8"/>
  <c r="D50" i="8"/>
  <c r="C50" i="8"/>
  <c r="X49" i="8"/>
  <c r="X48" i="8"/>
  <c r="X47" i="8"/>
  <c r="F47" i="8"/>
  <c r="X46" i="8"/>
  <c r="X45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X43" i="8"/>
  <c r="F43" i="8"/>
  <c r="X42" i="8"/>
  <c r="F42" i="8"/>
  <c r="X41" i="8"/>
  <c r="F41" i="8"/>
  <c r="X40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E39" i="8"/>
  <c r="D39" i="8"/>
  <c r="C39" i="8"/>
  <c r="X38" i="8"/>
  <c r="I38" i="8"/>
  <c r="F38" i="8"/>
  <c r="X37" i="8"/>
  <c r="I37" i="8"/>
  <c r="F37" i="8"/>
  <c r="X36" i="8"/>
  <c r="I36" i="8"/>
  <c r="F36" i="8"/>
  <c r="X35" i="8"/>
  <c r="F35" i="8"/>
  <c r="X34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H33" i="8"/>
  <c r="E33" i="8"/>
  <c r="D33" i="8"/>
  <c r="C33" i="8"/>
  <c r="X32" i="8"/>
  <c r="I32" i="8"/>
  <c r="I30" i="8" s="1"/>
  <c r="F32" i="8"/>
  <c r="F30" i="8" s="1"/>
  <c r="X31" i="8"/>
  <c r="V30" i="8"/>
  <c r="U30" i="8"/>
  <c r="T30" i="8"/>
  <c r="S30" i="8"/>
  <c r="R30" i="8"/>
  <c r="Q30" i="8"/>
  <c r="P30" i="8"/>
  <c r="O30" i="8"/>
  <c r="M30" i="8"/>
  <c r="J30" i="8"/>
  <c r="H30" i="8"/>
  <c r="G30" i="8"/>
  <c r="E30" i="8"/>
  <c r="D30" i="8"/>
  <c r="C30" i="8"/>
  <c r="X29" i="8"/>
  <c r="V27" i="8"/>
  <c r="P27" i="8"/>
  <c r="O27" i="8"/>
  <c r="M27" i="8"/>
  <c r="J27" i="8"/>
  <c r="H27" i="8"/>
  <c r="E27" i="8"/>
  <c r="D27" i="8"/>
  <c r="C27" i="8"/>
  <c r="P26" i="8"/>
  <c r="O26" i="8"/>
  <c r="L26" i="8"/>
  <c r="K26" i="8"/>
  <c r="E26" i="8"/>
  <c r="D26" i="8"/>
  <c r="C26" i="8"/>
  <c r="F25" i="8"/>
  <c r="F26" i="8" s="1"/>
  <c r="P8" i="8"/>
  <c r="O8" i="8"/>
  <c r="D5" i="7"/>
  <c r="D7" i="7"/>
  <c r="D9" i="7"/>
  <c r="D11" i="7"/>
  <c r="B13" i="7"/>
  <c r="C13" i="7"/>
  <c r="E13" i="7"/>
  <c r="F13" i="7"/>
  <c r="G13" i="7"/>
  <c r="H13" i="7"/>
  <c r="I13" i="7"/>
  <c r="J13" i="7"/>
  <c r="K13" i="7"/>
  <c r="D13" i="7" l="1"/>
  <c r="F33" i="8"/>
  <c r="X39" i="8"/>
  <c r="M113" i="8"/>
  <c r="D113" i="8"/>
  <c r="P87" i="8"/>
  <c r="X27" i="8"/>
  <c r="X69" i="8"/>
  <c r="I113" i="8"/>
  <c r="X92" i="8"/>
  <c r="P113" i="8"/>
  <c r="F97" i="8"/>
  <c r="F104" i="8"/>
  <c r="E113" i="8"/>
  <c r="J87" i="8"/>
  <c r="Z65" i="8"/>
  <c r="X65" i="8"/>
  <c r="E60" i="8"/>
  <c r="T113" i="8"/>
  <c r="X33" i="8"/>
  <c r="O113" i="8"/>
  <c r="I33" i="8"/>
  <c r="I60" i="8" s="1"/>
  <c r="K113" i="8"/>
  <c r="K87" i="8"/>
  <c r="S60" i="8"/>
  <c r="X50" i="8"/>
  <c r="C87" i="8"/>
  <c r="P60" i="8"/>
  <c r="T60" i="8"/>
  <c r="T87" i="8" s="1"/>
  <c r="T8" i="8" s="1"/>
  <c r="D60" i="8"/>
  <c r="D87" i="8"/>
  <c r="D114" i="8" s="1"/>
  <c r="D130" i="8" s="1"/>
  <c r="M87" i="8"/>
  <c r="F65" i="8"/>
  <c r="Z80" i="8"/>
  <c r="R113" i="8"/>
  <c r="C113" i="8"/>
  <c r="H60" i="8"/>
  <c r="Q60" i="8"/>
  <c r="Q8" i="8" s="1"/>
  <c r="R60" i="8"/>
  <c r="X60" i="8" s="1"/>
  <c r="X88" i="8"/>
  <c r="U113" i="8"/>
  <c r="U8" i="8" s="1"/>
  <c r="X104" i="8"/>
  <c r="C60" i="8"/>
  <c r="V60" i="8"/>
  <c r="V87" i="8" s="1"/>
  <c r="V113" i="8" s="1"/>
  <c r="V8" i="8" s="1"/>
  <c r="J60" i="8"/>
  <c r="U60" i="8"/>
  <c r="X44" i="8"/>
  <c r="E87" i="8"/>
  <c r="X80" i="8"/>
  <c r="J113" i="8"/>
  <c r="G113" i="8"/>
  <c r="Z97" i="8"/>
  <c r="F53" i="8"/>
  <c r="R87" i="8"/>
  <c r="L113" i="8"/>
  <c r="G60" i="8"/>
  <c r="X61" i="8"/>
  <c r="H113" i="8"/>
  <c r="M60" i="8"/>
  <c r="F39" i="8"/>
  <c r="G87" i="8"/>
  <c r="O87" i="8"/>
  <c r="Z69" i="8"/>
  <c r="F88" i="8"/>
  <c r="X116" i="8"/>
  <c r="L87" i="8"/>
  <c r="K60" i="8"/>
  <c r="L60" i="8"/>
  <c r="S87" i="8"/>
  <c r="S8" i="8" s="1"/>
  <c r="Q87" i="8"/>
  <c r="X30" i="8"/>
  <c r="O60" i="8"/>
  <c r="Q113" i="8"/>
  <c r="H87" i="8"/>
  <c r="Z88" i="8"/>
  <c r="E114" i="8" l="1"/>
  <c r="E130" i="8" s="1"/>
  <c r="K114" i="8"/>
  <c r="M114" i="8"/>
  <c r="M130" i="8" s="1"/>
  <c r="C114" i="8"/>
  <c r="C130" i="8" s="1"/>
  <c r="O114" i="8"/>
  <c r="F60" i="8"/>
  <c r="F114" i="8" s="1"/>
  <c r="F130" i="8" s="1"/>
  <c r="P114" i="8"/>
  <c r="P130" i="8" s="1"/>
  <c r="J114" i="8"/>
  <c r="J130" i="8" s="1"/>
  <c r="R114" i="8"/>
  <c r="R130" i="8" s="1"/>
  <c r="H114" i="8"/>
  <c r="H130" i="8" s="1"/>
  <c r="R8" i="8"/>
  <c r="G114" i="8"/>
  <c r="G130" i="8" s="1"/>
  <c r="I87" i="8"/>
  <c r="I114" i="8" s="1"/>
  <c r="I130" i="8" s="1"/>
  <c r="X113" i="8"/>
  <c r="L114" i="8"/>
  <c r="Z60" i="8"/>
  <c r="O130" i="8"/>
  <c r="X87" i="8"/>
  <c r="Q114" i="8"/>
  <c r="Q130" i="8" s="1"/>
  <c r="K132" i="8" l="1"/>
  <c r="Z114" i="8"/>
  <c r="X114" i="8"/>
  <c r="X130" i="8"/>
</calcChain>
</file>

<file path=xl/sharedStrings.xml><?xml version="1.0" encoding="utf-8"?>
<sst xmlns="http://schemas.openxmlformats.org/spreadsheetml/2006/main" count="1821" uniqueCount="815">
  <si>
    <t>Код и наименование 
специальности:</t>
  </si>
  <si>
    <t>Профессиональный стандарт WorldSkills (при наличии):</t>
  </si>
  <si>
    <t>Отличительные особенности ОП:</t>
  </si>
  <si>
    <t>№</t>
  </si>
  <si>
    <t xml:space="preserve">Цель ОП: </t>
  </si>
  <si>
    <t xml:space="preserve">Профессиональный стандарт (при наличии): </t>
  </si>
  <si>
    <t>БМ 2. Применение информационно-коммуникационных и цифровых технологий</t>
  </si>
  <si>
    <t>БМ 4. Применение основ социальных наук для социализации и адаптации в обществе и трудовом коллективе</t>
  </si>
  <si>
    <t>Дипломное
проектирование</t>
  </si>
  <si>
    <t xml:space="preserve">Промежуточная, итоговая аттестации </t>
  </si>
  <si>
    <t>-</t>
  </si>
  <si>
    <t>ООД 11. Биология</t>
  </si>
  <si>
    <t>ООД 16. Глобальные компетенции</t>
  </si>
  <si>
    <t>БМ 1. Развитие и совершенствование физических качеств</t>
  </si>
  <si>
    <t xml:space="preserve">ПМ 1. Создание отдельных элементов графического интерфейса </t>
  </si>
  <si>
    <t>РО 1.1. Создавать визуальный дизайн элементов графического пользовательского интерфейса.</t>
  </si>
  <si>
    <t xml:space="preserve">РО 1.3. Подготавливать макеты дизайна </t>
  </si>
  <si>
    <t xml:space="preserve">ПМ 2. Создание web- ресурсов </t>
  </si>
  <si>
    <t xml:space="preserve">РО 2.1. Разрабатывать front-end web-ресурсов. </t>
  </si>
  <si>
    <t xml:space="preserve">РО 2.2. Разрабатывать back-end web-ресурсов. </t>
  </si>
  <si>
    <t xml:space="preserve">РО 2.3 Применять язык програграммивания Python при разработке web-приложений </t>
  </si>
  <si>
    <t>РО 2.4 Применять аппаратные и программные компоненты компьютерных сетей при решении различных задач</t>
  </si>
  <si>
    <t xml:space="preserve">ПМ 3. Применение систем управления web контентом </t>
  </si>
  <si>
    <t xml:space="preserve">РО 3.1 Устанавливать систему управления веб контентом. </t>
  </si>
  <si>
    <t>РО 3.2. Настраивать безопасность и защиту на Content Management Systems.</t>
  </si>
  <si>
    <t>ПМ 4. Проектирование программного обеспечения</t>
  </si>
  <si>
    <t>РО 3.3. Создавать пользовательские шаблоны, плагины для систем управления контентом.</t>
  </si>
  <si>
    <t>РО 4.1. Осуществлять постановку цели и задачи и вырабатывать требования к программному обеспечению.</t>
  </si>
  <si>
    <t>РО 4.2. Разрабатывать технические спецификации на программные компоненты.</t>
  </si>
  <si>
    <t>РО 4.3. Выбирать методы и стратегии разработки программного обеспечения.</t>
  </si>
  <si>
    <t>РО 4.4  Применять основы  высшей, дискретной математики, численных методов, математической статистики в проектировании программного обеспечения</t>
  </si>
  <si>
    <t>РО 4.5 Определять архитектуру программного обеспечения и выбирать программные средства для подготовки макетов модулей программного обеспечения.</t>
  </si>
  <si>
    <t>ПМ 5. Составление алгоритма и создание блок-схемы на основе спецификации программного обеспечения</t>
  </si>
  <si>
    <t>РО 5.1. Выделять данные и подбирать способы программирования модулей программного обеспечения.</t>
  </si>
  <si>
    <t>РО 5.2. Составлять блок-схему для каждого модуля программного обеспечения на основе дизайн-проекта.</t>
  </si>
  <si>
    <t>РО 5.3. Разрабатывать схему взаимодействия подзадач и их объединение в одну задачу.</t>
  </si>
  <si>
    <t>РО 5.4. Определять структуру данных, входные и выходные данные.</t>
  </si>
  <si>
    <t>ПМ 6. Программирование модулей программного обеспечения</t>
  </si>
  <si>
    <t>РО 6.1. Определять структуру программы, процедуры, библиотеки языка для каждого модуля программного обеспечения.</t>
  </si>
  <si>
    <t>РО 6.2. Написать код программы на выбранном языке программирования.</t>
  </si>
  <si>
    <t>РО 6.3. Проводить отладку программного кода.</t>
  </si>
  <si>
    <t>РО 6.4. Разрабатывать тестовый набор и для верификации кода.</t>
  </si>
  <si>
    <t>ПМ 7. Проверка работоспособности рефакторинга программного кода</t>
  </si>
  <si>
    <t>РО 7.1. Осуществлять анализ и проверку исходного программного кода программного обеспечения.</t>
  </si>
  <si>
    <t>РО 7.2. Осуществлять отладку программного кода программного обеспечения на уровне программных модулей.</t>
  </si>
  <si>
    <t>РО 7.3. Воспроизводить и устранять выявленные дефекты в программном коде.</t>
  </si>
  <si>
    <t>РО 7.4. Формировать отчетную документацию.</t>
  </si>
  <si>
    <t>РО 7.5. Разрабатывать и оформлять контрольные примеры для проверки работоспособности программного кода.</t>
  </si>
  <si>
    <t>РО 7.6. Осуществлять рефакторинг программного кода.</t>
  </si>
  <si>
    <t>ПМ 9. Программирование цифровых устройств на базе микроконтроллеров</t>
  </si>
  <si>
    <t>РО 9.1. Определять требования к микропроцессору и разрабатывать алгоритм управления.</t>
  </si>
  <si>
    <t>РО 9.2. Осуществлять коррекцию схем и топологии микроконтроллеров.</t>
  </si>
  <si>
    <t>РО 9.3. Устранять выявленные дефекты в программном коде.</t>
  </si>
  <si>
    <t>РО 9.4. Разрабатывать и оформлять контрольные примеры для проверки работоспособности программного кода.</t>
  </si>
  <si>
    <t>06130100 Программное обеспечение (по видам)</t>
  </si>
  <si>
    <t>4S06130103 Разработчик программного обеспечения</t>
  </si>
  <si>
    <t>Подготовка специалистов, обладающих теоретическими  и практическими навыками проектирования и разработки программных продуктов, проверяющие роботоспособность и осуществляющие рефакторинг кода программного обеспечения.</t>
  </si>
  <si>
    <t xml:space="preserve">Индекс компетенции </t>
  </si>
  <si>
    <t xml:space="preserve">Наименование компетенции </t>
  </si>
  <si>
    <t xml:space="preserve">2. Перечень компетенций </t>
  </si>
  <si>
    <t>3.1 Содержание модулей (дисциплин)</t>
  </si>
  <si>
    <t>Модули (дисциплины)</t>
  </si>
  <si>
    <t>Краткое описание модулей (дисциплин)</t>
  </si>
  <si>
    <t xml:space="preserve">Результаты обучения </t>
  </si>
  <si>
    <t>Индекс компетенции</t>
  </si>
  <si>
    <t xml:space="preserve">Общеобразовательные дисциплины </t>
  </si>
  <si>
    <t xml:space="preserve">Базовые модули (общегуманитарные и социально-экономические дисциплины) </t>
  </si>
  <si>
    <t>Профессиональные модули (общепрофессиональные и специальные дисциплины)</t>
  </si>
  <si>
    <t>Формирует у студентов устойчивые мотивы и потребности в бережном отношении к своему здоровью, целостном развитии физических и психических качеств, творческом использовании средств физической культуры в организации здорового образа жизни.</t>
  </si>
  <si>
    <t>РО 1.2 Совершенствовать физические качества и психофизиологические способности.</t>
  </si>
  <si>
    <t xml:space="preserve">Прививает навыки по выполнию расчетов с использованием прикладных компьютерных программ, использованию информационно-телекоммуникационной сети "Интернет" (далее - сеть Интернет) и ее возможностей для организации оперативного обмена информацией;   формирует умения обрабатывать и анализировать информацию с применением программных средств и вычислительной техники </t>
  </si>
  <si>
    <t xml:space="preserve">РО 2.1 Владеть основами информационно-коммуникационных технологий.                                </t>
  </si>
  <si>
    <t>РО 2.2 Использовать услуги информационно-справочных и интерактивных веб-порталов.</t>
  </si>
  <si>
    <t>БМ 3. Применение базовых знаний экономики и основ предпринимательства</t>
  </si>
  <si>
    <t>Способствует изучению базовых знаний, основ предпринимательской деятельности, умению практически применять полученные знания; привитию ответственности за свой выбор и формирование мышления предпринимательского склада, активной жизненной позиции; созданию практической базы навыков для будущей самостоятельной деятельности в современных рыночных условиях.</t>
  </si>
  <si>
    <t xml:space="preserve">РО 3.1 Владеть основными вопросами в области экономической теории.
</t>
  </si>
  <si>
    <t>РО 3.3 Понимать тенденции развития мировой экономики, основные задачи перехода государства к "зеленой" экономике.</t>
  </si>
  <si>
    <t>РО 3.4 Владеть научными и законодательными основами организации и ведения предпринимательской деятельности в Республике Казахстан.</t>
  </si>
  <si>
    <t>РО 3.5 Соблюдать этику делового общения.</t>
  </si>
  <si>
    <t>Формирует базовые знания о структуре, роли социальных наук в жизни человека и общества, познавательного отношения человека к миру, на основе изучения философской, научной и религиозной картины мира, представление о сущности, назначении, о смысле жизни человека, помогает обучающимся в формировании и развитии культуры мышления через осмысления исторических типов философии, дает им ценностную ориентацию в быстро меняющемся и противоречивом мире</t>
  </si>
  <si>
    <t>РО 4.2 Понимать роль и место культуры народов Республики Казахстан в мировой цивилизации.</t>
  </si>
  <si>
    <t>РО 4.3 Владеть сведениями об основных отраслях права.</t>
  </si>
  <si>
    <t>РО 4.4 Владеть основными понятиями социологии и политологии.</t>
  </si>
  <si>
    <t>Курс</t>
  </si>
  <si>
    <t>Наименование модуля (дисциплины) и видов учебной деятельности</t>
  </si>
  <si>
    <t>РО 1.2. Подготавливать графические материалы для включения в графический интерфейс.</t>
  </si>
  <si>
    <t xml:space="preserve">Данный модуль описывает  знания, умения и навыки необходимые для создания и подготовки визуального дизайна элементов графического пользовательского интерфейса, подготовки макетов дизайна </t>
  </si>
  <si>
    <t xml:space="preserve">Данный модуль описывает  знания, умения и навыки необходимые для создания web- ресурсов: разработки front-end и back-end web-ресурсов, применения языка программирования Python при разработке веб- приложений, применять аппартаные и программные компоненты КС при решении различных задач  </t>
  </si>
  <si>
    <t>Данный модуль описывает  знания, умения и навыки необходимые для применение систем управления web контенто: установи системы управления веб контентом, настройки безопасности и защиты на Content Management Systems, создания пользовательских шаблонов, плагинов для систем управления контентом.</t>
  </si>
  <si>
    <t>Данный модуль описывает  знания, умения и навыки необходимые для проектирования программного обеспечения: формулирование и разработки постановки задачи, выбора методов и стратегии разработки ПО с применением в специальных знаний в области математике, определение архитектуры ПО и выбора ПС для подготовки макетов модулей программного обеспечения.</t>
  </si>
  <si>
    <t>Данный модуль описывает  знания, умения и навыки необходимые для составления алгоритма и создание блок-схемы на основе спецификации программного обеспечения</t>
  </si>
  <si>
    <t>Данный модуль описывает  знания, умения и навыки необходимые для программирования модулей программного обеспечения</t>
  </si>
  <si>
    <t>Данный модуль описывает  знания, умения и навыки необходимые для  проверки работоспособности рефакторинга программного кода</t>
  </si>
  <si>
    <t>Данный модуль описывает  знания, умения и навыки необходимые для организации обработки больших данных</t>
  </si>
  <si>
    <t>Данный модуль описывает  знания, умения и навыки необходимые для программирования цифровых устройств на базе микроконтроллеров</t>
  </si>
  <si>
    <t>Данный модуль описывает  знания, умения и навыки необходимые для разработки мобильных приложений</t>
  </si>
  <si>
    <t>Объем времени</t>
  </si>
  <si>
    <t>кредитов</t>
  </si>
  <si>
    <t>Семестр</t>
  </si>
  <si>
    <t xml:space="preserve">Форма итогового контроля </t>
  </si>
  <si>
    <t>часов</t>
  </si>
  <si>
    <t>4</t>
  </si>
  <si>
    <t>5</t>
  </si>
  <si>
    <t>3</t>
  </si>
  <si>
    <t>1</t>
  </si>
  <si>
    <t>Э</t>
  </si>
  <si>
    <t>1, 2</t>
  </si>
  <si>
    <t>З, Э</t>
  </si>
  <si>
    <t>Э, З</t>
  </si>
  <si>
    <t>З</t>
  </si>
  <si>
    <t>З, З</t>
  </si>
  <si>
    <t>БМ 1. Развитие и совершенствование 
физических качеств</t>
  </si>
  <si>
    <t>БМ 4. Применение основ социальных наук для социализации и адаптации в обществе и трудовом коллективе, а также понимание современной экономической системы</t>
  </si>
  <si>
    <t>3, 4</t>
  </si>
  <si>
    <t>5, 6</t>
  </si>
  <si>
    <t xml:space="preserve">ПМ 7. Проверка работоспособности рефакторинга программного кода </t>
  </si>
  <si>
    <t xml:space="preserve">Промежуточная аттестация </t>
  </si>
  <si>
    <t xml:space="preserve">Итоговая аттестация </t>
  </si>
  <si>
    <t>Самостоятельная работа</t>
  </si>
  <si>
    <t xml:space="preserve">Общее количество учебной нагрузки </t>
  </si>
  <si>
    <t xml:space="preserve">Факультативные занятия </t>
  </si>
  <si>
    <t>Консультации</t>
  </si>
  <si>
    <t>1-4</t>
  </si>
  <si>
    <t>1 - 7</t>
  </si>
  <si>
    <t>72</t>
  </si>
  <si>
    <t>4, 8</t>
  </si>
  <si>
    <t>5760</t>
  </si>
  <si>
    <t>240</t>
  </si>
  <si>
    <t>16</t>
  </si>
  <si>
    <t>384</t>
  </si>
  <si>
    <t xml:space="preserve">3.3 Матрица дисциплин по компетенциям </t>
  </si>
  <si>
    <t>Казахский язык и литература</t>
  </si>
  <si>
    <t>Развивает мышление, национальный дух, эстетический вкус обучающихся через ценности национального наследия, формирование духовно-нравственного мира личности, познавательно-эмоционального интеллекта, читательской культуры. Поддерживает умение обучающихся свободно выражать свои мысли в устной форме и писать, приводить аргументы, сравнивать и анализировать, формировать навыки оценки, направлять их на креативное мышление</t>
  </si>
  <si>
    <t>РО 7. формировать личность с высоким уровнем знаний, развитым мышлением.</t>
  </si>
  <si>
    <t>РО 6. воспитывать личность, готовую к реализации лингвистической потребности в поликультурной среде;</t>
  </si>
  <si>
    <t>РО 5. развивать навыки творческой работы, критического мышления на основе признания стилистических и жанровых особенностей казахской литературы;</t>
  </si>
  <si>
    <t>РО 4. развивать навыки использования всех видов речевой деятельности в социальной среде на основе коммуникативного обучения;</t>
  </si>
  <si>
    <t>РО 3. формировать ценностные отношения к казахскому языку и литературе;</t>
  </si>
  <si>
    <t xml:space="preserve">РО 1. воспитывать у обучающихся чувство уважения к государственному языку через знакомство с культурой казахского народа;
</t>
  </si>
  <si>
    <t>РО 2. обучать казахскому языку как государственному для успешной интеграции человечества;</t>
  </si>
  <si>
    <t>Русский язык</t>
  </si>
  <si>
    <t>Развивает компетенции (языковая, лингвистическая, коммуникативная, культуроведческая), формирует мировоззрение обучающегося, его художественно-эстетическое развитие, возможность пользоваться информацией различных сфер: социально-культурной, социально-экономической, социально-юридической, научно-технической, учебно-профессиональной; содействие в ориентировании путей развития общемирового образовательного пространства.</t>
  </si>
  <si>
    <t xml:space="preserve">РО 1. Использовать знания о русском языке, соблюдать нормы литературного языка (орфоэпических, орфографических, лексических и грамматических) и правила речевого этикета в устной и письменной речи в профессиональной и других сферах и коммуникационных процессах разного уровня; </t>
  </si>
  <si>
    <t>РО 2. совершенствовать навыки информационного поиска, извлечения и преобразования информации;</t>
  </si>
  <si>
    <t>РО 3. обогащать словарный запас и расширять круг используемых грамматических средств академического языка;</t>
  </si>
  <si>
    <t>РО 4. совершенствовать навыки критического мышления: анализа, синтеза, оценки, интерпретации полученной информации;</t>
  </si>
  <si>
    <t>РО 5. использовать различные виды чтения в зависимости от коммуникативных задач;</t>
  </si>
  <si>
    <t>РО 6. совершенствовать навыки слушания и говорения;</t>
  </si>
  <si>
    <t>РО 7. совершенствовать умения создавать монологическое высказывание в различных жанрах публичных выступлений, критически оценивать и выбирать языковые средства с точки зрения нормативности, в соответствии с ситуацией общения;</t>
  </si>
  <si>
    <t>РО 8. совершенствовать умения успешного диалогического общения, ведения дискуссии в разных сферах и коммуникативных ситуациях, предлагая пути решения проблемы;</t>
  </si>
  <si>
    <t>РО 9. совершенствовать стилистическую грамотность при создании текстов разных жанров; формировать индивидуальный авторский стиль; уметь корректировать и редактировать текст; формировать индивидуальный авторский стиль;</t>
  </si>
  <si>
    <t>РО 10. расширять представление о национально-культурной специфике русского языка, о культуре русского, казахского и других народов;</t>
  </si>
  <si>
    <t>РО 11. воспитывать сознательные отношения к языку как средству общения, источнику знаний, духовно-нравственной ценности, как к языковому капиталу, способствующему успешной социализации в обществе.</t>
  </si>
  <si>
    <t>Русская литература</t>
  </si>
  <si>
    <t>Приобщает обучающихся к богатствам русской и мировой художественной литературы, развивает их способности эстетического восприятия и оценки произведений литературы и отраженных в ней явлений жизни, формирует эстетические вкусы, потребности, гражданскую идейно-нравственную позицию. Воздействует на интеллектуально-нравственное и мировоззренческое развитие личности, на освоение передовых современных технологий, использование и трансферт которых способны обеспечить личностный профессиональный и карьерный рост</t>
  </si>
  <si>
    <t>РО 1. понимать роль литературы как одного из важнейших достижений культуры, значение художественной литературы в жизни человека; литературные термины и литературные направления, роды и жанры, тему, идею, проблематику произведения, позицию автора в произведении, образную природу художественных произведений; открыто выраженный и скрытый смыслы произведений;</t>
  </si>
  <si>
    <t>РО 2. применять приобретенные знания, умения и навыки при подготовке сообщения, доклада, интервью на литературную тему; при написании эссе, при создании собственного текста аналитического характера, в процессе создания собственной интерпретации изученного текста с привлечением информационно-коммуникационных технологий; для определения актуального для себя круга чтения и оценки художественных произведений, участия в дебатах или в публичных выступлениях; для поиска необходимой информации;</t>
  </si>
  <si>
    <t>РО 3. анализировать произведения разной жанровой природы, аргументированно формулируя свое отношение к прочитанному; тему, идею и особенности композиции, сюжета произведения, языковые особенности произведения, ключевые эпизоды, действия и поступки героев; особенности стиля писателя; сравнивает их с произведениями мировой литературы и произведениями других видов искусства;</t>
  </si>
  <si>
    <t>РО 4. синтезировать полученные знания, умения и навыки для сопоставления фактов, деталей с историческими фактами; создания разных видов плана; для создания письменных текстов с использованием различных ресурсов; соотносить ценностную составляющую произведений с ценностями казахского и других народов;</t>
  </si>
  <si>
    <t>РО 5.оценивать изучаемые произведения с точки зрения композиционного, стилевого единства, языкового оформления и эффективности достижения поставленных коммуникативных задач; интерпретацию художественного текста, созданную средствами других видов искусства.</t>
  </si>
  <si>
    <t>РО 6. применять знания о русском языке, соблюдение норм (орфоэпических, орфографических, пунктуационных, лексических, грамматических, стилистических) литературного языка и правил речевого этикета в устной и письменной речи в разных сферах и ситуациях общения;</t>
  </si>
  <si>
    <t>РО 7. формировать понимания ценности литературы как духовного наследия в условиях глобализации современного мира</t>
  </si>
  <si>
    <t>РО 8. совершенствовать навыки критического анализа, сравнения, обобщения, умения устанавливать аналогии и причинно-следственные связи, классифицировать явления, строить логические и критические рассуждения, умозаключения и выводы на основе анализа произведений;</t>
  </si>
  <si>
    <t>РО 9. формировать духовую и интеллектуальную потребности читать, совершенствовать навыки критического чтения и интерпретации текста, развивая творческие способности каждого обучающегося;</t>
  </si>
  <si>
    <t>РО 10. развивать коммуникативные навыки на основе глубокого понимания, анализа идейно-художественного, социально-исторического и духовно-эстетического аспектов произведений различных жанров</t>
  </si>
  <si>
    <t>Иностранный язык</t>
  </si>
  <si>
    <t>Формирует высокий уровень языковых навыков, а также развитие навыков посредством: различных задач, способствующих анализу, оценке и творческому мышлению; воздействию широкого спектра разговорных и письменных источников; изучения базовых методических и педагогических технологий в процессе обучения иностранному языку</t>
  </si>
  <si>
    <t>РО 1. формировать знания, умения и навыки, способствующие успешной социальной адаптации, на основе изучения иностранного языка, рассматривая его взаимосвязи с казахской и мировой литературой и культурой;</t>
  </si>
  <si>
    <t>РО 2. воспитывать патриотизм, гражданственность, активную жизненную позицию средствами литературы изучаемого языка;</t>
  </si>
  <si>
    <t>РО 3. формировать понимание ценности изучения иностранного языка в условиях глобализации современного мира; умения представлять свою страну, ее культуру в условиях межкультурного общения;</t>
  </si>
  <si>
    <t>РО 4. совершенствовать навыки критического мышления, сравнения, обобщения, умения устанавливать аналогии и причинно-следственные связи, понимать широкий спектр незнакомой лексики из контекста; говорить с соответствующим уровнем беглости, точности, ударения слов, интонации и стиля;</t>
  </si>
  <si>
    <t>РО 5. использовать речевые средства в соответствии с задачей коммуникации для выражения своих чувств, мыслей и потребностей, планирования и регуляции своей деятельности; владение устной и письменной речью, монологической контекстной речью;</t>
  </si>
  <si>
    <t>РО 6. дать возможность обучающимся распознавать и использовать язык как средство мышления, размышления, самовыражения и обучения по другим предметам, а также как инструмент повышения грамотности; приобщить к процессу изучения языка, который включает интеграцию языковых, культурных и социальных компонентов;</t>
  </si>
  <si>
    <t>РО 7. взаимодействовать со сверстниками для гипотезы и давать мнения, комментарии и ответы, полезные для обучающихся с целью использовать английский язык в колледже и за его пределами; успешно общаться с носителями английского языка и не носителями английского языка;</t>
  </si>
  <si>
    <t>РО 8. формировать социокультурную компетенцию через приобщение к культуре, традициям и реалиям стран изучаемого языка в рамках тем, сфер и ситуаций, соответствующих программе курса.</t>
  </si>
  <si>
    <t>История Казахстана</t>
  </si>
  <si>
    <t>Развивает личность обучающегося, обладающего историческим сознанием, гражданственностью и патриотизмом, активно и творчески применяющего исторические знания и навыки в учебной и социальной деятельности на основе изучения ключевых событий и процессов отечественной истории.</t>
  </si>
  <si>
    <t>РО 1. формировать знания о ключевых проблемах этнического, социального, экономического, политического и культурного развития общества на территории Казахстана в различные исторические периоды;</t>
  </si>
  <si>
    <t>РО 2. воспитывать гражданственность, казахстанскую идентичность, развивать мировоззренческие убеждения обучающихся на основе осмысления исторически сложившихся культурных, национальных традиций, нравственных и социальных норм;</t>
  </si>
  <si>
    <t>РО 3. формировать целостность представления о месте и роли Казахстана в мировом историческом процессе;</t>
  </si>
  <si>
    <t>РО 4. развивать навыки исследования событий и явлений с точки зрения их исторической обусловленности, сопоставления и критического анализа различных точек зрения и оценок исторических событий, и личностей, определять собственное отношение к дискуссионным проблемам прошлого и современности;</t>
  </si>
  <si>
    <t>РО 5. развивать навыки анализа достижений отечественной культуры;</t>
  </si>
  <si>
    <t>РО 6. развивать навыки работы с различными типами исторических источников, поиска и систематизации исторической информации;</t>
  </si>
  <si>
    <t>РО 7. развивать навыки проектной деятельности и исторической реконструкции с привлечением различных источников;</t>
  </si>
  <si>
    <t>РО 8. развивать умения использовать исторические знания и навыки для понимания современных политических, социально-экономических и культурных процессов;</t>
  </si>
  <si>
    <t>РО 9. развивать коммуникативные навыки: ясно выражать свои мысли в устной и письменной форме, работать в команде, использовать информацию из различных источников.</t>
  </si>
  <si>
    <t>География</t>
  </si>
  <si>
    <t>Создает условия для применения у обучающихся географических знаний, умений и навыков, направленных на решение геоэкологических, геоэкономических, социально-экономических, геополитических и глобальных проблем, возникающих на всех уровнях общества и географического пространства.</t>
  </si>
  <si>
    <t xml:space="preserve">РО 1. развивать у обучающихся географическое пространственное мышление, географическую культуру и язык; </t>
  </si>
  <si>
    <t xml:space="preserve">РО 2. развивать понимание глобальных, региональных и локальных позиций для изучения геоэкологических, геополитических, геоэкономических, социальных процессов и явлений; </t>
  </si>
  <si>
    <t>РО 3. создать условия для применения обучающимся современных методов обработки геопространственных данных при изучении картографии, геоэкологии, геоэкономики, геополитики, страноведения и глобальных проблем человечества;</t>
  </si>
  <si>
    <t>РО 4. формировать у обучающегося систему ценностей в процессе изучения географической картины современного мира через действия.</t>
  </si>
  <si>
    <t>Математика</t>
  </si>
  <si>
    <t>Развивает владение математическими знаниями, необходимыми для применения в практической и профессиональной деятельности технико-технологического направления, для изучения смежных дисциплин продолжения образования, интеллектуального развития обучающихся на основе общечеловеческих ценностей и лучших традиций национальной культуры.</t>
  </si>
  <si>
    <t>РО 1. создать условия для качественного освоения основ математики, дальнейшего формирования и развития математических знаний, умений и навыков, направленных на развитие интеллектуальных качеств личности;</t>
  </si>
  <si>
    <t>РО 2. содействовать применению математического языка и основных математических законов, изучению количественных отношений и пространственных форм для решения задач в различных контекстах;</t>
  </si>
  <si>
    <t>РО 3. направлять знания обучающихся на создание математических моделей с целью решения задач, и обратно, интерпретирование математических моделей, которые описывают реальные процессы;</t>
  </si>
  <si>
    <t>РО 4. развивать логическое и критическое мышление, творческие способности для подбора математических методов при решении практических задач, оценки полученных результатов и установления их достоверности;</t>
  </si>
  <si>
    <t>РО 5. развивать коммуникативные навыки, в том числе способность передавать информацию точно и грамотно, а также использовать информацию из различных источников, включая публикации и электронные средства;</t>
  </si>
  <si>
    <t>РО 6. развивать личностные качества, такие как независимость, ответственность, инициативность, настойчивость, толерантность, необходимые как для самостоятельной работы, так и для работы в команде;</t>
  </si>
  <si>
    <t>РО 7. развивать навыки использования информационно-коммуникационных технологий в процессе обучения математике.</t>
  </si>
  <si>
    <t>Информатика</t>
  </si>
  <si>
    <t>Формирует у обучающихся навыки использования современных информационных технологии и программ в профессиональной сфере в технико-технологическом направлении</t>
  </si>
  <si>
    <t>РО 1. формировать у обучающихся понимание роли информационных процессов в обществе, технических возможностей и перспектив использования информационных технологий в сфере;</t>
  </si>
  <si>
    <t>РО 2. обеспечивать обучающихся пониманием базовых принципов работы компьютеров;</t>
  </si>
  <si>
    <t>РО 3. формировать у обучающихся технологическое мышление, развивать творческие способности, память, пространственное воображение, фантазию, моторику рук, совершенствовать глазомер обучающихся.</t>
  </si>
  <si>
    <t>РО 4. научить обучающихся решать разнообразные задачи посредством анализа, абстракций, моделирования и программирования;</t>
  </si>
  <si>
    <t>РО 5. развивать у обучающихся логическое, алгоритмическое, а также вычислительное мышление, включающее способность к обобщению и аналогии, разложению задачи на составные части и выделению общих закономерностей, нахождению эффективных и рациональных способов решения поставленных задач;</t>
  </si>
  <si>
    <t>РО 6. формировать у обучающихся информационную культуру – следовать общепринятым правилам и действовать в интересах личности и всего казахстанского общества;</t>
  </si>
  <si>
    <t>РО 7. способствовать овладению академического языка и обогащению терминологического словаря обучающимися в рамках предмета;</t>
  </si>
  <si>
    <t>РО 8. познакомить обучающихся с принципами и методами разработки, конструирования и программирования управляемых электронных устройств на базе вычислительной платформы;</t>
  </si>
  <si>
    <t>РО 9. развить навыки программирования в современной среде программирования;</t>
  </si>
  <si>
    <t>РО 10. углубить знания, повысить мотивацию к обучению путем их практического применения;</t>
  </si>
  <si>
    <t>РО 11. развить интерес к научно–техническому разработкам;</t>
  </si>
  <si>
    <t>РО 12. развить творческие способности обучающихся.</t>
  </si>
  <si>
    <t>Химия</t>
  </si>
  <si>
    <t>Предоставляет обучающимся систему знаний о веществах и их превращениях, законах и теориях, объясняющих зависимость свойств веществ от их состава и строения, предоставляет обучающимся возможности приобретения понимания химических процессов, законов и их закономерностей для безопасного применения в реальной жизни, критической оценки информации и принятия решений.</t>
  </si>
  <si>
    <t xml:space="preserve">РО 1. формировать систему знаний о веществах и закономерностях их взаимодействия друг с другом (факты, понятия, законы, теории); </t>
  </si>
  <si>
    <t>РО 2. формировать опыт осуществления известных способов деятельности в виде интеллектуальных и экспериментальных умений и навыков;</t>
  </si>
  <si>
    <t>РО 3. формировать опыт творческой, поисковой деятельности по решению новых проблем, требующих самостоятельного претворения ранее усвоенных знаний и умений в новых ситуациях, формирование новых способов деятельности на основе уже известных;</t>
  </si>
  <si>
    <t>РО 4. формировать опыт ценностных и критических отношений к объектам или средствам деятельности человека, его проявление в отношении к окружающему миру, формирование ключевых и предметных компетентностей, способствующих решению жизненных проблем каждого члена общества.</t>
  </si>
  <si>
    <t>Физика</t>
  </si>
  <si>
    <t>Формирует у обучающихся основы научного мировоззрения, целостного восприятия естественнонаучной картины мира, способности наблюдать, анализировать и фиксировать явления природы для решения жизненно важных практических задач</t>
  </si>
  <si>
    <t>РО 1. формировать у обучающихся основы научного мировоззрения, целостного восприятия естественнонаучной картины мира, способности наблюдать, анализировать и фиксировать явления природы для решения жизненно важных практических задач;</t>
  </si>
  <si>
    <t>РО 2. содействовать освоению обучающимися знаний о фундаментальных физических законах и принципах, лежащих в основе современной физической картины мира, методах научного познания природы;</t>
  </si>
  <si>
    <t xml:space="preserve">РО 3. способствовать развитию у обучающихся интеллектуальной, информационной, коммуникативной и рефлексивной культуры, навыков выполнения физического эксперимента и исследования; </t>
  </si>
  <si>
    <t>РО 4. способствовать формированию у обучающихся представления о том, что физика является элементом общечеловеческой культуры, о связи развития физики с развитием общества, техники и других наук;</t>
  </si>
  <si>
    <t>РО 5. способствовать овладению обучающимися использовать усвоенные физические знания для разрешения проблемных ситуаций в повседневной жизни, в учебе и дальнейшей трудовой деятельности;</t>
  </si>
  <si>
    <t>РО 6. развивать у обучающихся понимание различных физических явлений и свойств предметов, использования физических терминов, физического знания, уровня культуры в отношении интеллектуального и общего искусства.</t>
  </si>
  <si>
    <t>Биология</t>
  </si>
  <si>
    <t>Развивает современные биологические знания и умения у обучающихся; понимание сущности, развития и проявления жизни на разных уровнях ее организации; формирует практические навыки через объяснение основных закономерностей, свойственных живым организмам; подготавливает всесторонне развитую личность, которая понимает значение жизни как наивысшей ценности и применяет предметные знаний в области технико-технологического направления.</t>
  </si>
  <si>
    <t>РО 1. расширить значимые биологические знания и умения, определяющие роль человека в природе на основе понимания законов ее развития в области аграрно-технического направления;</t>
  </si>
  <si>
    <t>РО 2. применять законы развития и функционирования природы в качестве основы и средства для приобретения новых знаний, их дальнейшего расширения и углубления в области аграрно-технического направления;</t>
  </si>
  <si>
    <t>РО 3. формировать в процессе овладения системой знаний и основ научного мировоззрения; творческой самостоятельности и критического мышления, исследовательских умений;</t>
  </si>
  <si>
    <t>РО 4. развивать качества инициативной личности, позволяющие свободно ориентироваться в окружающей действительности, с готовностью принимать самостоятельные решения, связанные этическими вопросами и с личным участием в социальной жизни общества и в трудовой деятельности аграрного сектора;</t>
  </si>
  <si>
    <t>РО 5. развивать у обучающихся интеллектуальные умения, необходимые для продолжения образования и самообразования.</t>
  </si>
  <si>
    <t>Начальная военная и технологическая подготовка</t>
  </si>
  <si>
    <t>Формирует у обучающихся представление об основах обороны государства, назначении Вооруженных Сил Республики Казахстан, их характере и особенностях, воспитывает осознанное отношение к воинской службе как священному долгу и обязанности гражданина Республики Казахстан</t>
  </si>
  <si>
    <t>РО 1. формировать знания об основных требованиях военной присяги, уставах Вооруженных Сил Республики Казахстан;</t>
  </si>
  <si>
    <t>РО 2. знакомить с вооружением и военной техникой воинских частей, с размещением и бытом личного состава;</t>
  </si>
  <si>
    <t xml:space="preserve">РО 3. формировать в процессе овладения системой знаний и основ научного мировоззрения; творческой самостоятельности и критического мышления, исследовательских умений; </t>
  </si>
  <si>
    <t>РО 4. воспитывать у обучающихся чувство высокого казахстанского патриотизма и чувство верности своему Отечеству;</t>
  </si>
  <si>
    <t>РО 5. воспитывать должное отношение к профессиям, связанным с военным делом;</t>
  </si>
  <si>
    <t>РО 6. формировать сознательное и ответственное отношение к вопросам личной безопасности и безопасности окружающих.</t>
  </si>
  <si>
    <t>Физическая культура</t>
  </si>
  <si>
    <t>Формирует основы физической культуры, направленных на здоровое физическое развитие, приобретение спортивно-специфических двигательных навыков и физических способностей для дальнейшей трудовой деятельности</t>
  </si>
  <si>
    <t>РО 1. развивать и совершенствовать профессионально важные физические и психофизиологические качества, также повышать общую и неспецифическую устойчивость организма будущих специалистов к факторам неблагоприятной среды;</t>
  </si>
  <si>
    <t xml:space="preserve">РО 2. повышать уровень физических качеств, функциональной подготовки, улучшать основные показатели физического развития; </t>
  </si>
  <si>
    <t xml:space="preserve">РО 3. развивать двигательные навыки обучающихся, способствующие выносливости, быстроте, силе, ловкости и гибкости; </t>
  </si>
  <si>
    <t xml:space="preserve">РО 4. воспитывать чувство патриотизма, уважения, ответственности и взаимопонимания; </t>
  </si>
  <si>
    <t xml:space="preserve">РО 5. стимулировать обучающихся вести здоровый образ жизни на протяжении всей жизни и применять приобретенные навыки в дальнейшем; </t>
  </si>
  <si>
    <t>РО 6. формировать представления о физической культуре как части общечеловеческой культуры.</t>
  </si>
  <si>
    <t>РО 7. воспитывать потребности и умения самостоятельно заниматься физическими упражнениями, сознательно применять их в целях отдыха, тренировки, повышать работоспособность, укреплять здоровье;</t>
  </si>
  <si>
    <t>РО 8. обмениваться практическими навыками и теоретическими знаниями для развития здоровой конкуренции в процессе обучения, посредством организации соревновательной деятельности</t>
  </si>
  <si>
    <t>РО 9. использовать информационно-коммуникационные технологии при изучении теории (правила спорт игр, изучение тактики, тестирование и другие.)</t>
  </si>
  <si>
    <t>РО 10. ориентировать на индивидуальную профессионально-прикладную физическую подготовку при выборе прогнозируемой (будущей) профессии</t>
  </si>
  <si>
    <t>Всемирная история</t>
  </si>
  <si>
    <t>Изучает ключевые события всемирной истории и выявления социально-политических, экономических факторов, влияющих на ход истории, способствует формированию личности обучающегося, обладающего историческим сознанием, гражданственностью и патриотизмом, уважающего национальные и общечеловеческие ценности, осознающей большое значение накопленного человечеством культурно – исторического опыта, активно и творчески применяющего исторические знания и навыки в учебной и социальной деятельности</t>
  </si>
  <si>
    <t>РО 1. формировать знания о ключевых проблемах этнического, социального, экономического, политического и культурного развития общества в различные исторические периоды;</t>
  </si>
  <si>
    <t>РО 2. воспитывать патриотизм, толерантность, уважение гуманистических традиций и демократических ценностей, выработанных человечеством на протяжении всей истории;</t>
  </si>
  <si>
    <t>РО 3. формировать целостное представление о всемирно-историческом процессе;</t>
  </si>
  <si>
    <t>РО 4. развивать навыки исследования событий и явлений с точки зрения их исторической обусловленности, сопоставления и критического анализа различных точек зрения и оценок исторических событий и личностей, определять собственное отношение к дискуссионным проблемам прошлого и современности;</t>
  </si>
  <si>
    <t>РО 5. развивать навыки работы с различными типами исторических источников, поиска и систематизации исторической информации;</t>
  </si>
  <si>
    <t>РО 6. развивать навыки проектной, исследовательской деятельности и исторической реконструкции с привлечением различных источников;</t>
  </si>
  <si>
    <t>РО 7. развивать умение использовать исторические знания и навыки для понимания современных политических, социально-экономических и культурных процессов;</t>
  </si>
  <si>
    <t>РО 8. развивать коммуникативные навыки: ясно выражать свои мысли в устной и письменной форме, работать в команде, использовать информацию из различных источников.</t>
  </si>
  <si>
    <t>Графика и проектирование</t>
  </si>
  <si>
    <t>Знакомит обучающихся с проекционными методами, законами графического моделирования и основами теории изображений, влияние на развитие проектно-творческой деятельности, формирует графическую культуру и навыки использования современных и традиционных графических средств и создает условия для их практического использования</t>
  </si>
  <si>
    <t>РО 1. развивать критическое и аналитическое мышления обучающихся, их коммуникативные и исследовательские навыки;</t>
  </si>
  <si>
    <t>РО 2. развивать понимание местных, глобальных проблем и вопросов межкультурного взаимодействия;</t>
  </si>
  <si>
    <t>РО 3. формировать умение распознавать, анализировать, оценивать информацию и формулировать аргументы;</t>
  </si>
  <si>
    <t>РО 4. формировать аналитическое оценочное понимание обучающимися глобальных событий и их причин и последствий;</t>
  </si>
  <si>
    <t>РО 5. формировать у обучающегося систему ценностей, способствующую осознанию собственной культурной идентичности и пониманию культурного многообразия мира;</t>
  </si>
  <si>
    <t>РО 6. развивать финансовую, экологическую культуры;</t>
  </si>
  <si>
    <t>РО 7. формировать умение конструировать свое мышление посредством исследования, связанного с реальной жизнью.</t>
  </si>
  <si>
    <t xml:space="preserve">Наименование дисциплин Наименование компетенции </t>
  </si>
  <si>
    <t>1. Паспорт образовательной программы</t>
  </si>
  <si>
    <t>Нормативно-правовое обеспечение в области образования</t>
  </si>
  <si>
    <t xml:space="preserve">• Закон РК «Об образовании» от 27 июля 2007 года №319-ІІІ с изменениями и дополнениями по состоянию на 01.05.2023г                                                                                                                                                                                         • Приказ Министра просвещения Республики Казахстан от 31 августа 2022 года № 385 «Об утверждении Типовых правил деятельности организаций дошкольного, начального, основного среднего, общего среднего, технического и профессионального, послесреднего образования, специализированных, специальных, организациях образования для детей-сирот и детей, оставшихся без попечения родителей, организациях дополнительного образования для детей и взрослых»; 
• Типовые учебные программы модуля общеобразовательных дисциплин для организаций технического и профессионального, послесреднего образования, утвержденными приказом Министра просвещения Республики Казахстан от 06.01.2023 года №1;
• Приложение 6 к приказу Министра просвещения Республики Казахстан от 3 августа 2022 года № 348 «Об утверждении государственных общеобязательных стандартов образования всех уровней образования»;
• Приказ Министра образования и науки Республики Казахстан от 27 сентября 2018 года №500 «Об утверждении Классификатора специальностей и квалификаций технического и профессионального, послесреднего образования», в новой редакции приказ и. о. Министра образования и науки РК от 21.07.2021 № 354;
• Приказ Министра просвещения РК от 27.08.2022 № 382 «Об утверждении Перечня документов, обязательных для ведения педагогами организаций технического и профессионального, послесреднего образования, и их формы»;
• Постановление Правительства Республики Казахстан от 31 октября 2018 года № 703 «Об утверждении Правил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организациях», в редакции Приказа и.о. Министра просвещения РК от 24.02.2023 года №47;
• Приказ Министра образования и науки РК от 18.03.2008 года №125 «Об утверждении типовых правил текущего контроля успеваемости, промежуточной и итоговой аттестации обучающихся для организаций среднего, технического и профессионального, послесреднего образования» с изменениями и дополнениями Министра просвещения РК от 13.04.2023 за №96;  
• Инструктивно-методические рекомендации по организации учебного процесса в учебных заведениях технического и профессионального послесреднего образования к началу 2023-2024 учебного года;
• Методические рекомендации по разработке образовательных программ по специальностям и квалификациям технического и профессионального, послесреднего образования - одобрен на заседании РУМС от 28.03.2023 года Приложение 2
• Отраслевая рамка квалификаций </t>
  </si>
  <si>
    <t>3W06130102 Web- дизайнер</t>
  </si>
  <si>
    <t>3. Содержание образовательной программы</t>
  </si>
  <si>
    <t>3.2 Сводная таблица, отражающая объем освоенных кредитов/часов в разрезе модулей (дисциплин) образовательной программы</t>
  </si>
  <si>
    <t>2, 4</t>
  </si>
  <si>
    <t xml:space="preserve">Дипломное проектирование </t>
  </si>
  <si>
    <t>9</t>
  </si>
  <si>
    <t>216</t>
  </si>
  <si>
    <t>8</t>
  </si>
  <si>
    <t>РО 1. развивать критическое и аналитическое мышление обучающихся, их коммуникативные и исследовательские навыки;</t>
  </si>
  <si>
    <t>РО 4. формировать аналитическое оценочное понимание обучающимися глобальных событий и их причин, и последствий;</t>
  </si>
  <si>
    <t>РО 5. формировать у обучающегося систему ценностей, способствующих осознанию собственной культурной идентичности и пониманию культурного многообразия мира;</t>
  </si>
  <si>
    <t xml:space="preserve">Формирует конкурентоспособные личности, соответствующие стандартам культуры поведения и обладающими глобальными компетенциями. Способствует формированию у обучающихся ценностных ориентиров, коммуникативных навыков, этических норм и поведенческих установок </t>
  </si>
  <si>
    <t>Глобальные компетенции</t>
  </si>
  <si>
    <t>ООД 1. Математика</t>
  </si>
  <si>
    <t>ООД 2. Информатика</t>
  </si>
  <si>
    <t>ООД 3. Казахский язык и литература</t>
  </si>
  <si>
    <t>ООД 4. Русский язык</t>
  </si>
  <si>
    <t>ООД 5. Русская литература</t>
  </si>
  <si>
    <t>ООД 6. Иностранный язык</t>
  </si>
  <si>
    <t>ООД 7. История Казахстана</t>
  </si>
  <si>
    <t>ООД 8. Физическая культура</t>
  </si>
  <si>
    <t>ООД 9. Начальная военная и технологическая подготовка</t>
  </si>
  <si>
    <t>ООД 10. Химия</t>
  </si>
  <si>
    <t>ООД 12. Всемирная история</t>
  </si>
  <si>
    <t>ООД 13. География</t>
  </si>
  <si>
    <t>ООД 14. Графика и проектирование</t>
  </si>
  <si>
    <t>ООД 15. Физика</t>
  </si>
  <si>
    <t>К1</t>
  </si>
  <si>
    <t>Владеть математическими знаниями, необходимыми для применения в практической и профессиональной деятельности технико-технологического направления, для изучения смежных дисциплин продолжения образования, интеллектуального развития обучающихся на основе общечеловеческих ценностей и лучших традиций национальной культуры.</t>
  </si>
  <si>
    <t>К2</t>
  </si>
  <si>
    <t>Формировать у обучающихся навыки использования современных информационных технологии и программ в профессиональной сфере в технико-технологическом направлении</t>
  </si>
  <si>
    <t>К3</t>
  </si>
  <si>
    <t>Развивать мышление, национальный дух, эстетический вкус обучающихся через ценности национального наследия, формировать духовно-нравственноый мир личности, познавательно-эмоционального интеллект, читательскую культуру. Поддерживать их умение свободно выражать свои мысли в устной форме и писать, приводить аргументы, сравнивать и анализировать, формировать навыки оценки, направлять их на креативное мышление</t>
  </si>
  <si>
    <t>К4</t>
  </si>
  <si>
    <t>Развивать компетенции (языковая, лингвистическая, коммуникативная, культуроведческая), формировать мировоззрение обучающегося, его художественно-эстетическое развитие, возможность пользоваться информацией различных сфер: социально-культурной, социально-экономической, социально-юридической, научно-технической, учебно-профессиональной; содействие в ориентировании путей развития общемирового образовательного пространства.</t>
  </si>
  <si>
    <t>К5</t>
  </si>
  <si>
    <t xml:space="preserve">Приобщать обучающихся к богатствам русской и мировой художественной литературы, развивать их способности эстетического восприятия и оценки произведений литературы и отраженных в ней явлений жизни, формировать эстетический вкус, потребности, гражданскую идейно-нравственную позицию. </t>
  </si>
  <si>
    <t>К6</t>
  </si>
  <si>
    <t>Формировать высокий уровень языковых навыков, а также развивать навыки посредством: различных задач, способствующих анализу, оценке и творческому мышлению; воздействию широкого спектра разговорных и письменных источников; изучения базовых методических и педагогических технологий в процессе обучения иностранному языку</t>
  </si>
  <si>
    <t>К7</t>
  </si>
  <si>
    <t>Развивать личность обучающегося, обладающего историческим сознанием, гражданственностью и патриотизмом, активно и творчески применяющего исторические знания и навыки в учебной и социальной деятельности на основе изучения ключевых событий и процессов отечественной истории.</t>
  </si>
  <si>
    <t>К8</t>
  </si>
  <si>
    <t>Формировать основы физической культуры, направленные на здоровое физическое развитие, приобретение спортивно-специфических двигательных навыков и физических способностей для дальнейшей трудовой деятельности</t>
  </si>
  <si>
    <t>К9</t>
  </si>
  <si>
    <t>Формировать у обучающихся представление об основах обороны государства, назначении Вооруженных Сил Республики Казахстан, их характере и особенностях, воспитывать осознанное отношение к воинской службе как священному долгу и обязанности гражданина Республики Казахстан</t>
  </si>
  <si>
    <t>К10</t>
  </si>
  <si>
    <t>Предоставлять обучающимся систему знаний о веществах и их превращениях, законах и теориях, объясняющих зависимость свойств веществ от их состава и строения, предоставлять обучающимся возможности приобретения понимания химических процессов, законов и их закономерностей для безопасного применения в реальной жизни, критической оценки информации и принятия решений.</t>
  </si>
  <si>
    <t>К11</t>
  </si>
  <si>
    <t>Развивает современные биологические знания и умения у обучающихся; понимание сущности, развития и проявления жизни на разных уровнях ее организации; формирование практических навыков через объяснение основных закономерностей, свойственных живым организмам; подготовка всесторонне развитой личности, которая понимает значение жизни как наивысшей ценности и применяет предметные знаний в области аграрно-технического направления.</t>
  </si>
  <si>
    <t>К12</t>
  </si>
  <si>
    <t>Изучать ключевые события всемирной истории и выявления социально-политических, экономических факторов, влияющих на ход истории, способствовать формированию личности обучающегося, обладающего историческим сознанием, гражданственностью и патриотизмом, уважающего национальные и общечеловеческие ценности, осознающей большое значение накопленного человечеством культурно – исторического опыта, активно и творчески применяющего исторические знания и навыки в учебной и социальной деятельности</t>
  </si>
  <si>
    <t>К13</t>
  </si>
  <si>
    <t>Создавать условия для применения  обучающимися географических знаний, умений и навыков, направленных на решение геоэкологических, геоэкономических, социально-экономических, геополитических и глобальных проблем, возникающих на всех уровнях общества и географического пространства.</t>
  </si>
  <si>
    <t>К14</t>
  </si>
  <si>
    <t>Знакомить обучающихся с проекционными методами, законами графического моделирования и основами теории изображений, влиять на развитие проектно-творческой деятельности, формировать графическую культуру и навыки использования современных и традиционных графических средств и создавать условия для их практического использования</t>
  </si>
  <si>
    <t>К15</t>
  </si>
  <si>
    <t>К16</t>
  </si>
  <si>
    <t xml:space="preserve">Формировать конкурентоспособные личности, соответствующие стандартам культуры поведения и обладающих глобальными компетенциями. </t>
  </si>
  <si>
    <t>К17</t>
  </si>
  <si>
    <t>Развивать и совершенствовать физические качества</t>
  </si>
  <si>
    <t>К18</t>
  </si>
  <si>
    <t xml:space="preserve">Применять информационно- коммуникационные и цифровые технологии в профессиональной деятельности </t>
  </si>
  <si>
    <t xml:space="preserve">Применять базовые знания экономики и основ предпринимательства  в профессиональной деятельности </t>
  </si>
  <si>
    <t>К19</t>
  </si>
  <si>
    <t>К20</t>
  </si>
  <si>
    <t xml:space="preserve">Применять основы социальных наук для социализации и адаптации в обществе и трудовом коллективе </t>
  </si>
  <si>
    <t>К21</t>
  </si>
  <si>
    <t>Создавать отдельные элементы графического интерфейса</t>
  </si>
  <si>
    <t>К22</t>
  </si>
  <si>
    <t xml:space="preserve">Создавать web-ресурсы </t>
  </si>
  <si>
    <t>К23</t>
  </si>
  <si>
    <t>К24</t>
  </si>
  <si>
    <t>К25</t>
  </si>
  <si>
    <t>К26</t>
  </si>
  <si>
    <t>К27</t>
  </si>
  <si>
    <t>К28</t>
  </si>
  <si>
    <t>К29</t>
  </si>
  <si>
    <t>К30</t>
  </si>
  <si>
    <t>Применять системы управления веб-контентом</t>
  </si>
  <si>
    <t>Проектировать программное обеспечение</t>
  </si>
  <si>
    <t xml:space="preserve">Составлять алгоритм и блок-схему на основе спецификации программного обеспечения </t>
  </si>
  <si>
    <t xml:space="preserve">Программировать модули </t>
  </si>
  <si>
    <t xml:space="preserve">Проверять работоспособность и осуществлять рефакторинг кода программного обеспечения </t>
  </si>
  <si>
    <t xml:space="preserve">Проводить анализ и обработку больших данных </t>
  </si>
  <si>
    <t>Программировать цифровые устройства на базе микроконтроллеров</t>
  </si>
  <si>
    <t>276</t>
  </si>
  <si>
    <t>24</t>
  </si>
  <si>
    <t>168</t>
  </si>
  <si>
    <t>120</t>
  </si>
  <si>
    <t>468</t>
  </si>
  <si>
    <t>408</t>
  </si>
  <si>
    <t>252</t>
  </si>
  <si>
    <t>372</t>
  </si>
  <si>
    <t>504</t>
  </si>
  <si>
    <t xml:space="preserve"> "Графический дизайн", «Web-дизайн и разработка»,  «3D моделирование компьютерных игр».</t>
  </si>
  <si>
    <t>«Разработка программного обеспечения» Приложение № 7 к приказу исполняющего обязанности Председателя Правления Национальной палаты предпринимателей Республики Казахстан «Атамекен» №222 от 05.12.2022г.
Профессиональный стандарт «Тестирование Web и мультимедийных приложений» Приложение № 36 к приказу Заместителя Председателя Правления Национальной палаты предпринимателей Республики Казахстан «Атамекен» от 24.12.2019г. № 259</t>
  </si>
  <si>
    <t>Выполнять практические работы "web - дизайнера "</t>
  </si>
  <si>
    <t xml:space="preserve">Разрабатывать мобильные приложения </t>
  </si>
  <si>
    <t>К31</t>
  </si>
  <si>
    <t>ПМ 8. Выполнение практических работ"web - дизайнера "</t>
  </si>
  <si>
    <t>Данный модуль описавает знания. Умения и навыки необходимые для квалификации web- дизайнер</t>
  </si>
  <si>
    <t>РО 8.1 Создавать визуальный дизайн элементов графического пользовательского интерфейса.</t>
  </si>
  <si>
    <t xml:space="preserve">РО 8.2  Разрабатывать front-end и  back-end web-ресурсов. </t>
  </si>
  <si>
    <t xml:space="preserve">РО 8.3 Применять язык програграммивания Python при разработке web-приложений </t>
  </si>
  <si>
    <t xml:space="preserve">РО 8.4 Устанавливать систему управления веб контентом. </t>
  </si>
  <si>
    <t>ПМ 10. Организация обработки больших данных</t>
  </si>
  <si>
    <t>ПМ 11. Разработка мобильных приложений</t>
  </si>
  <si>
    <t>3-4</t>
  </si>
  <si>
    <t>ПМ 11.  Разработка мобильных приложений</t>
  </si>
  <si>
    <t>1440</t>
  </si>
  <si>
    <t>60</t>
  </si>
  <si>
    <t>1-7</t>
  </si>
  <si>
    <t>3-7</t>
  </si>
  <si>
    <t>480</t>
  </si>
  <si>
    <t>20</t>
  </si>
  <si>
    <t>108</t>
  </si>
  <si>
    <t>РО 10.1. Создавать базы данных и хранилище данных, использовать функциональные возможности систем управления базами данных.</t>
  </si>
  <si>
    <t>РО 10.2. Разрабатывать алгоритмы для обработки больших данных.</t>
  </si>
  <si>
    <t>РО 10.3. Разрабатывать и использовать методы быстрого поиска и обработки данных.</t>
  </si>
  <si>
    <t>РО 10.4 Разрабатывать алгоритмы на языке программирования высокого уровня при решении экономических задач.</t>
  </si>
  <si>
    <t>РО 11.1. Проектировать приложение при помощи макета приложений.</t>
  </si>
  <si>
    <t>РО 11.2. Работать со стандартными сервисами платформы.</t>
  </si>
  <si>
    <t>РО 11.3. Использовать технологии работы с базами данных.</t>
  </si>
  <si>
    <t>РО 11.4. Использовать технологии работы с различными протоколами обмена  данными.</t>
  </si>
  <si>
    <t>РО 11.5. Тестировать мобильные приложения.</t>
  </si>
  <si>
    <t>РО 11.6 Выполнять разработку мобильных приложений .</t>
  </si>
  <si>
    <t>2-3</t>
  </si>
  <si>
    <r>
      <t>Код и наименование 
квалификации/квалификаций:</t>
    </r>
    <r>
      <rPr>
        <sz val="12"/>
        <color theme="1"/>
        <rFont val="Times New Roman"/>
        <family val="1"/>
        <charset val="204"/>
      </rPr>
      <t xml:space="preserve"> </t>
    </r>
  </si>
  <si>
    <t xml:space="preserve">РО 1.1 Укреплять здоровье и соблюдать принципы здорового образа жизни.  </t>
  </si>
  <si>
    <t>РО 4.1 Понимать морально-нравственные ценности и нормы, формирующие толерантность и активную личностную позицию.</t>
  </si>
  <si>
    <t xml:space="preserve"> График учебного процесса</t>
  </si>
  <si>
    <t>Курсы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</si>
  <si>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</si>
  <si>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</si>
  <si>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</si>
  <si>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</si>
  <si>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</si>
  <si>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</si>
  <si>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</si>
  <si>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</si>
  <si>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</si>
  <si>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</si>
  <si>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</si>
  <si>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</si>
  <si>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недели</t>
  </si>
  <si>
    <t>I</t>
  </si>
  <si>
    <t>ПА</t>
  </si>
  <si>
    <t>К</t>
  </si>
  <si>
    <t>ПС</t>
  </si>
  <si>
    <t>Пдн</t>
  </si>
  <si>
    <t>II</t>
  </si>
  <si>
    <t>ПО</t>
  </si>
  <si>
    <t>III</t>
  </si>
  <si>
    <t>ИА</t>
  </si>
  <si>
    <t>IV</t>
  </si>
  <si>
    <t xml:space="preserve">условные обозначения </t>
  </si>
  <si>
    <t>ТО</t>
  </si>
  <si>
    <t xml:space="preserve">теоретическое обучение  </t>
  </si>
  <si>
    <t xml:space="preserve">ДП </t>
  </si>
  <si>
    <t>дипломное проектирование</t>
  </si>
  <si>
    <t xml:space="preserve">промежуточная аттестация </t>
  </si>
  <si>
    <t>производственное обучение</t>
  </si>
  <si>
    <t xml:space="preserve">полевые сборы </t>
  </si>
  <si>
    <t xml:space="preserve">итоговая аттестация </t>
  </si>
  <si>
    <t>ПП</t>
  </si>
  <si>
    <t xml:space="preserve">профессиональная практика </t>
  </si>
  <si>
    <t xml:space="preserve">праздничные дни </t>
  </si>
  <si>
    <t>каникулы</t>
  </si>
  <si>
    <t>Итого</t>
  </si>
  <si>
    <t>недель</t>
  </si>
  <si>
    <t>Всего недель в учебном году</t>
  </si>
  <si>
    <t>Каникулы</t>
  </si>
  <si>
    <t>Праздничные дни</t>
  </si>
  <si>
    <t>Итоговая аттестация</t>
  </si>
  <si>
    <t>Дипломное проектирование (если запланировано)</t>
  </si>
  <si>
    <t>Производственное обучение и профессиональная практика</t>
  </si>
  <si>
    <t>Промежуточная аттестация</t>
  </si>
  <si>
    <t>Теоретическое обучение</t>
  </si>
  <si>
    <t>Сводные данные по бюджету времени</t>
  </si>
  <si>
    <t>Рабочий учебный план</t>
  </si>
  <si>
    <t xml:space="preserve">индекс </t>
  </si>
  <si>
    <t>Наименование модулей / дисциплин</t>
  </si>
  <si>
    <t xml:space="preserve">Форма контроля </t>
  </si>
  <si>
    <t xml:space="preserve">Объем учебного </t>
  </si>
  <si>
    <t>Самостоятельная работа студента с педагогом</t>
  </si>
  <si>
    <t>Самостоятельноя работа студента</t>
  </si>
  <si>
    <t>времени</t>
  </si>
  <si>
    <t xml:space="preserve">Распределение по курсам и  семестрам </t>
  </si>
  <si>
    <t>экзамен (семестр)</t>
  </si>
  <si>
    <t>зачет(семестр)</t>
  </si>
  <si>
    <t xml:space="preserve">контрольная работа </t>
  </si>
  <si>
    <t xml:space="preserve">ВСЕГО КРЕДИТОВ </t>
  </si>
  <si>
    <t>ВСЕГО ЧАСОВ</t>
  </si>
  <si>
    <t>в том</t>
  </si>
  <si>
    <t>числе</t>
  </si>
  <si>
    <t>1 курс</t>
  </si>
  <si>
    <t>2 курс</t>
  </si>
  <si>
    <t>3 курс</t>
  </si>
  <si>
    <t>4 курс</t>
  </si>
  <si>
    <t>Лабораторно-практические работы</t>
  </si>
  <si>
    <t>Курсовой проект/ работы</t>
  </si>
  <si>
    <t xml:space="preserve">Производственное обучение/  Профессиональная практика </t>
  </si>
  <si>
    <t>Индивидуальные</t>
  </si>
  <si>
    <t>1 семестр 18 недель</t>
  </si>
  <si>
    <t>2 семестр 20 недель</t>
  </si>
  <si>
    <t>3 семестр 22 недель</t>
  </si>
  <si>
    <t>4 семестр 16 недель</t>
  </si>
  <si>
    <t>5 семестр 22 недель</t>
  </si>
  <si>
    <t>6 семестр 16 недель</t>
  </si>
  <si>
    <t>7 семестр 22 недель</t>
  </si>
  <si>
    <t xml:space="preserve">8 семестр 10 недель </t>
  </si>
  <si>
    <t xml:space="preserve">количество учебных недель </t>
  </si>
  <si>
    <t>итого в неделю</t>
  </si>
  <si>
    <t xml:space="preserve">ООД </t>
  </si>
  <si>
    <t>Общеобразовательные модули</t>
  </si>
  <si>
    <t xml:space="preserve">Русская  литература </t>
  </si>
  <si>
    <t xml:space="preserve">Физическая культура </t>
  </si>
  <si>
    <t>ПА 1</t>
  </si>
  <si>
    <t>ООД</t>
  </si>
  <si>
    <t xml:space="preserve">ИТОГО 1 КУРС: </t>
  </si>
  <si>
    <t>БМ 1</t>
  </si>
  <si>
    <t>Развитие и совершенствование 
физических качеств</t>
  </si>
  <si>
    <r>
      <t>Результат обучения:</t>
    </r>
    <r>
      <rPr>
        <sz val="10"/>
        <rFont val="Times New Roman"/>
        <family val="1"/>
        <charset val="204"/>
      </rPr>
      <t xml:space="preserve"> 1.1 Укреплять здоровье и соблюдать принципы здорового образа жизни. 1.2 Совершенствовать физические качества и психофизиологические способности.</t>
    </r>
  </si>
  <si>
    <t>БМ 1.1</t>
  </si>
  <si>
    <t>Физическое воспитание</t>
  </si>
  <si>
    <t>БМ 2</t>
  </si>
  <si>
    <t>Применение информационно-коммуникационных и цифровых технологий</t>
  </si>
  <si>
    <r>
      <t xml:space="preserve">Результаты обучения: </t>
    </r>
    <r>
      <rPr>
        <sz val="10"/>
        <rFont val="Times New Roman"/>
        <family val="1"/>
        <charset val="204"/>
      </rPr>
      <t>2.1</t>
    </r>
    <r>
      <rPr>
        <b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Владеть основами информационно-коммуникационных технологий.  2.2 Использовать услуги информационно-справочных и интерактивных веб-порталов.</t>
    </r>
  </si>
  <si>
    <t>БМ 2.1</t>
  </si>
  <si>
    <t>Информационно-коммуникационные технологии в проф. деятельности</t>
  </si>
  <si>
    <t>БМ 3</t>
  </si>
  <si>
    <t>Применение базовых знаний экономики и основ предпринимательства</t>
  </si>
  <si>
    <t>БМ 3.1</t>
  </si>
  <si>
    <t>БМ 3.2</t>
  </si>
  <si>
    <t>Основы экономики</t>
  </si>
  <si>
    <t>БМ 3.3</t>
  </si>
  <si>
    <t>экономика и управление производством</t>
  </si>
  <si>
    <t>БМ 3.4</t>
  </si>
  <si>
    <t xml:space="preserve">Основы предпринимательства </t>
  </si>
  <si>
    <t>ПМ 1</t>
  </si>
  <si>
    <t xml:space="preserve">Создание отдельных элементов графического интерфейса </t>
  </si>
  <si>
    <r>
      <t xml:space="preserve">Результаты обучения: </t>
    </r>
    <r>
      <rPr>
        <sz val="10"/>
        <rFont val="Times New Roman"/>
        <family val="1"/>
        <charset val="204"/>
      </rPr>
      <t xml:space="preserve">РО 1.1. Создавать визуальный дизайн элементов графического пользовательского интерфейса. РО 1.2. Подготавливатьграфические материалы для включения в графический интерфейс. РО 1.3. Подготавливать макеты дизайна </t>
    </r>
  </si>
  <si>
    <t>ПМ 1.1</t>
  </si>
  <si>
    <t xml:space="preserve">Ознакомительная практика </t>
  </si>
  <si>
    <t>ПМ 1.2</t>
  </si>
  <si>
    <t xml:space="preserve">Компьютерная графика </t>
  </si>
  <si>
    <t>ПМ 1.3</t>
  </si>
  <si>
    <t xml:space="preserve">Графический web- дизайн </t>
  </si>
  <si>
    <t>ПМ 2</t>
  </si>
  <si>
    <t xml:space="preserve">Создание web- ресурсов </t>
  </si>
  <si>
    <r>
      <t xml:space="preserve">Результаты обучения: </t>
    </r>
    <r>
      <rPr>
        <sz val="10"/>
        <rFont val="Times New Roman"/>
        <family val="1"/>
        <charset val="204"/>
      </rPr>
      <t>РО 2.1. Разрабатывать front-end web-ресурсов. РО 2.2. Разрабатывать back-end web-ресурсов. РО 2.3 Применять язык програграммивания Python при разработке web-приложений РО 2.4 Применять аппаратные и программные компоненты компьютерных сетей при решении различных задач</t>
    </r>
  </si>
  <si>
    <t>ПМ 2.1</t>
  </si>
  <si>
    <t xml:space="preserve">Разработка front - end web- ресурсов </t>
  </si>
  <si>
    <t>ПМ 2.2</t>
  </si>
  <si>
    <t xml:space="preserve">Разработка back - end web- ресурсов </t>
  </si>
  <si>
    <t>ПМ 2.3</t>
  </si>
  <si>
    <t>Разработка web - приложений на Python</t>
  </si>
  <si>
    <t>ПМ 2.4</t>
  </si>
  <si>
    <t xml:space="preserve">Компьютерные сети и системы </t>
  </si>
  <si>
    <t>ПМ 3</t>
  </si>
  <si>
    <t xml:space="preserve">Применение систем управления web контентом </t>
  </si>
  <si>
    <r>
      <t xml:space="preserve">Результаты обучения: </t>
    </r>
    <r>
      <rPr>
        <sz val="10"/>
        <rFont val="Times New Roman"/>
        <family val="1"/>
        <charset val="204"/>
      </rPr>
      <t>РО 3.1 Устанавливать систему управления веб контентом. РО 3.2. Настраивать безопасность и защиту на Content Management Systems. РО 3.3. Создавать пользовательские шаблоны, плагины для систем управления контентом.</t>
    </r>
  </si>
  <si>
    <t>ПМ 3.1</t>
  </si>
  <si>
    <t xml:space="preserve">Системы управления web контентом </t>
  </si>
  <si>
    <t>ПМ 4</t>
  </si>
  <si>
    <t>Проектирование программного обеспечения</t>
  </si>
  <si>
    <r>
      <t xml:space="preserve">Результаты обучения: </t>
    </r>
    <r>
      <rPr>
        <sz val="10"/>
        <rFont val="Times New Roman"/>
        <family val="1"/>
        <charset val="204"/>
      </rPr>
      <t>4.1 Осуществлять постановку цели и задачи и вырабатывать требования к программному обеспечению. 4.2 Разрабатывать технические спецификации на программные компоненты.  4.3 Выбирать методы и стратегии разработки программного обеспечения. 4.4 Применять основы  высшей, дискретной математики, численных методов, математической статистики в проектировании программного обеспечения 4.5 Определять архитектуру программного обеспечения и выбирать программные средства для подготовки макетов модулей программного обеспечения.</t>
    </r>
  </si>
  <si>
    <t>ПМ 4.1</t>
  </si>
  <si>
    <t>Основы высшей и дискретной математики</t>
  </si>
  <si>
    <t>ПМ 4.2</t>
  </si>
  <si>
    <t>Математическая статистика</t>
  </si>
  <si>
    <t>ПМ 4.3</t>
  </si>
  <si>
    <t>Численные методы</t>
  </si>
  <si>
    <t>ПМ 4.4</t>
  </si>
  <si>
    <t xml:space="preserve">Проектирование и технология разработки программного обеспечения </t>
  </si>
  <si>
    <t>ПА 2</t>
  </si>
  <si>
    <t>ИТОГО 2 КУРС:</t>
  </si>
  <si>
    <t>ПМ 4.5</t>
  </si>
  <si>
    <t>Инструментальные средства разработки программ</t>
  </si>
  <si>
    <t>ПМ 5</t>
  </si>
  <si>
    <t>Составление алгоритма и создание блок-схемы на основе спецификации программного обеспечения</t>
  </si>
  <si>
    <r>
      <t>Результаты обучения:</t>
    </r>
    <r>
      <rPr>
        <sz val="10"/>
        <rFont val="Times New Roman"/>
        <family val="1"/>
        <charset val="204"/>
      </rPr>
      <t xml:space="preserve"> 5.1. Выделять данные и подбирать способы программирования модулей программного обеспечения. 5.2. Составлять блок-схему для каждого модуля программного обеспечения на основе дизайн-проекта. 5.3. Разрабатывать схему взаимодействия подзадач и их объединение в одну задачу. 5.4. Определять структуру данных, входные и выходные данные.</t>
    </r>
  </si>
  <si>
    <t>ПМ 5.1</t>
  </si>
  <si>
    <t>Алгоритмизация и программирование</t>
  </si>
  <si>
    <t>ПМ 5.2</t>
  </si>
  <si>
    <t>Программирование в офисных приложениях</t>
  </si>
  <si>
    <t xml:space="preserve">ПМ 6 </t>
  </si>
  <si>
    <t>Программирование модулей программного обеспечения</t>
  </si>
  <si>
    <r>
      <t>Результаты обучения:</t>
    </r>
    <r>
      <rPr>
        <sz val="10"/>
        <rFont val="Times New Roman"/>
        <family val="1"/>
        <charset val="204"/>
      </rPr>
      <t xml:space="preserve"> 6.1. Создавать базы данных и хранилище данных, использовать функциональные возможности систем управления базами данных. 6.2. Разрабатывать алгоритмы для обработки больших данных. 6.3. Разрабатывать и использовать методы быстрого поиска и обработки данных.  6.4 Разрабатывать тестовый набор и для верификации кода.</t>
    </r>
  </si>
  <si>
    <t>ПМ 6.1</t>
  </si>
  <si>
    <t>Объектно-ориентированное программирование</t>
  </si>
  <si>
    <t>ПМ 6.2</t>
  </si>
  <si>
    <t xml:space="preserve">Системное программирование </t>
  </si>
  <si>
    <t>Тестирование ПО</t>
  </si>
  <si>
    <t>ПМ 7</t>
  </si>
  <si>
    <t xml:space="preserve">Проверка работоспособности рефакторинга программного кода </t>
  </si>
  <si>
    <r>
      <t xml:space="preserve">Результаты обучения: </t>
    </r>
    <r>
      <rPr>
        <sz val="10"/>
        <rFont val="Times New Roman"/>
        <family val="1"/>
        <charset val="204"/>
      </rPr>
      <t>7.1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  <charset val="204"/>
      </rPr>
      <t>Осуществлять анализ и проверку исходного программного кода программного обеспечения.  7.2 Осуществлять отладку программного кода программного обеспечения на уровне программных модулей.  7.3 Воспроизводить и устранять выявленные дефекты в программном коде.  7.4 Формировать отчетную документацию. 7.5 Разрабатывать и оформлять контрольные примеры для проверки работоспособности программного кода. 7.6 Осуществлять рефакторинг программного кода.</t>
    </r>
  </si>
  <si>
    <t>ПМ 7.1</t>
  </si>
  <si>
    <t xml:space="preserve">Рефакторинг и отладка кода </t>
  </si>
  <si>
    <t>ПМ 8</t>
  </si>
  <si>
    <t>Выполнение практических работ"web - дизайнера "</t>
  </si>
  <si>
    <r>
      <t>Результаты обучения:</t>
    </r>
    <r>
      <rPr>
        <sz val="10"/>
        <rFont val="Times New Roman"/>
        <family val="1"/>
        <charset val="204"/>
      </rPr>
      <t xml:space="preserve"> РО 8.1 Создавать визуальный дизайн элементов графического пользовательского интерфейса. РО 8.2  Разрабатывать front-end и  back-end web-ресурсов. РО 8.3 Применять язык програграммивания Python при разработке web-приложений РО 8.4 Устанавливать систему управления веб контентом. </t>
    </r>
  </si>
  <si>
    <t>ПМ 8.1</t>
  </si>
  <si>
    <t>Квалификационная практика "web -дизайнера "</t>
  </si>
  <si>
    <t>ПМ 9</t>
  </si>
  <si>
    <t>Программирование цифровых устройств на базе микроконтроллеров</t>
  </si>
  <si>
    <r>
      <t xml:space="preserve">Результаты обучения: </t>
    </r>
    <r>
      <rPr>
        <sz val="10"/>
        <rFont val="Times New Roman"/>
        <family val="1"/>
        <charset val="204"/>
      </rPr>
      <t>9.1. Определять требования к микропроцессору и разрабатывать алгоритм управления. 9.2. Осуществлять коррекцию схем и топологии микроконтроллеров. 9.3. Устранять выявленные дефекты в программном коде. 9.4. Разрабатывать и оформлять контрольные примеры для проверки работоспособности программного кода.</t>
    </r>
  </si>
  <si>
    <t>ПМ 9.1</t>
  </si>
  <si>
    <t>Аппаратное обеспечение КТ</t>
  </si>
  <si>
    <t>ПМ 9.2</t>
  </si>
  <si>
    <t xml:space="preserve">Цифровая техника </t>
  </si>
  <si>
    <t>ПМ 9.3</t>
  </si>
  <si>
    <t>Проектирование роботехнических устройств</t>
  </si>
  <si>
    <t>ПА 3</t>
  </si>
  <si>
    <t>ИА 1</t>
  </si>
  <si>
    <t>ИТОГО 3 КУРС:</t>
  </si>
  <si>
    <t>ПМ 9.4</t>
  </si>
  <si>
    <t>Микропроцессорная техника</t>
  </si>
  <si>
    <t>ПМ 9.5</t>
  </si>
  <si>
    <t>Программирование микроконтроллеров</t>
  </si>
  <si>
    <t>ПМ 10</t>
  </si>
  <si>
    <t>Организация обработки больших данных</t>
  </si>
  <si>
    <r>
      <rPr>
        <b/>
        <sz val="10"/>
        <rFont val="Times New Roman"/>
        <family val="1"/>
        <charset val="204"/>
      </rPr>
      <t>Результаты обучения</t>
    </r>
    <r>
      <rPr>
        <sz val="10"/>
        <rFont val="Times New Roman"/>
        <family val="1"/>
      </rPr>
      <t>: 10.1. Создавать базы данных и хранилище данных, использовать функциональные возможности систем управления базами данных.  10.2. Разрабатывать алгоритмы для обработки больших данных. 10.3. Разрабатывать и использовать методы быстрого поиска и обработки данных. 10.4 Разрабатывать алгоритмы на языке программирования высокого уровня при решении экономических задач.</t>
    </r>
  </si>
  <si>
    <t xml:space="preserve">ПМ 10.1 </t>
  </si>
  <si>
    <t>Технология разработки и защиты баз данных</t>
  </si>
  <si>
    <t>ПМ 10.2</t>
  </si>
  <si>
    <t xml:space="preserve">Облачные вычисления </t>
  </si>
  <si>
    <t>ПМ 10.3</t>
  </si>
  <si>
    <t>Производственная практика разработчика программного обеспечения</t>
  </si>
  <si>
    <t>ПМ 11</t>
  </si>
  <si>
    <t>Разработка мобильных приложений</t>
  </si>
  <si>
    <r>
      <t xml:space="preserve">Результаты обучения: </t>
    </r>
    <r>
      <rPr>
        <sz val="10"/>
        <rFont val="Times New Roman"/>
        <family val="1"/>
        <charset val="204"/>
      </rPr>
      <t>11.1. Проектировать приложение при помощи макета приложений. 11.2. Работать со стандартными сервисами платформы. 11.3. Использовать технологии работы с базами данных. 11.4. Использовать технологии работы с различными протоколами обмена  данными. 11.5. Тестировать мобильные приложения.</t>
    </r>
  </si>
  <si>
    <t>ПМ 11.1</t>
  </si>
  <si>
    <t>ПМ 11.2</t>
  </si>
  <si>
    <t>Программирование виртуальной реальности</t>
  </si>
  <si>
    <t>ПМ 11.3</t>
  </si>
  <si>
    <t xml:space="preserve">Тестирование мобильных приложений </t>
  </si>
  <si>
    <t>ПМ 11.4</t>
  </si>
  <si>
    <t>Программирование на ЯВУ</t>
  </si>
  <si>
    <t>ПМ 11.5</t>
  </si>
  <si>
    <t>Преддипломная практика</t>
  </si>
  <si>
    <t>БМ 4</t>
  </si>
  <si>
    <t>Применение основ социальных наук для социализации и адаптации в обществе и трудовом коллективе, а также понимание современной экономической системы</t>
  </si>
  <si>
    <r>
      <t xml:space="preserve">Результаты обучения: </t>
    </r>
    <r>
      <rPr>
        <sz val="10"/>
        <rFont val="Times New Roman"/>
        <family val="1"/>
        <charset val="204"/>
      </rPr>
      <t>4.1 Понимать морально-нравственные ценности и нормы, формирующие толерантность и активную личностную позицию. 4.2 Понимать роль и место культуры народов Республики Казахстан в мировой цивилизации. 4.3 Владеть сведениями об основных отраслях права. 4.4 Владеть основными понятиями социологии и политологии.</t>
    </r>
  </si>
  <si>
    <t>БМ 4.1</t>
  </si>
  <si>
    <t xml:space="preserve">основы права </t>
  </si>
  <si>
    <t>БМ 4.2</t>
  </si>
  <si>
    <t xml:space="preserve">культурология </t>
  </si>
  <si>
    <t>БМ 4.3</t>
  </si>
  <si>
    <t xml:space="preserve">основы политологии и социологии </t>
  </si>
  <si>
    <t>БМ 4.4</t>
  </si>
  <si>
    <t>основы философии</t>
  </si>
  <si>
    <t xml:space="preserve">ПМ 4 </t>
  </si>
  <si>
    <t>ДП</t>
  </si>
  <si>
    <t>Дипломное проектирование</t>
  </si>
  <si>
    <t>ИА 2</t>
  </si>
  <si>
    <t>ИТОГО 4 КУРС:</t>
  </si>
  <si>
    <t>Итого на обязательное обучение</t>
  </si>
  <si>
    <t xml:space="preserve">К </t>
  </si>
  <si>
    <t>Консультации не более 100 часов  на учебную группу на учебный год</t>
  </si>
  <si>
    <t xml:space="preserve">Ф </t>
  </si>
  <si>
    <t xml:space="preserve">Факультативные занятия не более  4 часов в неделю: из них </t>
  </si>
  <si>
    <t>max</t>
  </si>
  <si>
    <t>Ф 1</t>
  </si>
  <si>
    <t xml:space="preserve">Спорт секции </t>
  </si>
  <si>
    <t>Ф 2</t>
  </si>
  <si>
    <t>PyGame и разработка игр</t>
  </si>
  <si>
    <t>Ф 3</t>
  </si>
  <si>
    <t xml:space="preserve">Введение в нейросети </t>
  </si>
  <si>
    <t>Ф 4</t>
  </si>
  <si>
    <t>3D моделирование в Blender</t>
  </si>
  <si>
    <t>Ф 5</t>
  </si>
  <si>
    <t>Разработка игр на платформе Unity</t>
  </si>
  <si>
    <t>Ф 6</t>
  </si>
  <si>
    <t xml:space="preserve">SeO маркетинг </t>
  </si>
  <si>
    <t>Ф 7</t>
  </si>
  <si>
    <t xml:space="preserve">Видеомонтаж </t>
  </si>
  <si>
    <t>Ф 8</t>
  </si>
  <si>
    <t>Методы разработки прикладных решений на основе платформы 1С</t>
  </si>
  <si>
    <t>Ф 9</t>
  </si>
  <si>
    <t>WS Графический дизайн</t>
  </si>
  <si>
    <t>Ф 10</t>
  </si>
  <si>
    <t xml:space="preserve">WS Web разработка </t>
  </si>
  <si>
    <t>Ф 11</t>
  </si>
  <si>
    <t xml:space="preserve">Полиязычие </t>
  </si>
  <si>
    <t>Ф 12</t>
  </si>
  <si>
    <t xml:space="preserve">Основы эффективного трудоустройства </t>
  </si>
  <si>
    <t>ИТОГО</t>
  </si>
  <si>
    <t xml:space="preserve"> </t>
  </si>
  <si>
    <t xml:space="preserve">Углубленный уровень: </t>
  </si>
  <si>
    <t xml:space="preserve">Стандартный уровень: </t>
  </si>
  <si>
    <t>ООД 1</t>
  </si>
  <si>
    <t>ООД 2</t>
  </si>
  <si>
    <t>ООД 3</t>
  </si>
  <si>
    <t>ООД 4</t>
  </si>
  <si>
    <t>ООД 5</t>
  </si>
  <si>
    <t>ООД 6</t>
  </si>
  <si>
    <t>ООД 7</t>
  </si>
  <si>
    <t>ООД 8</t>
  </si>
  <si>
    <t>ООД 9</t>
  </si>
  <si>
    <t>ООД 10</t>
  </si>
  <si>
    <t>ООД 11</t>
  </si>
  <si>
    <t>ООД 12</t>
  </si>
  <si>
    <t>ООД 13</t>
  </si>
  <si>
    <t xml:space="preserve">охрана труда и экологическая безопасность </t>
  </si>
  <si>
    <t>ПА    Пдн</t>
  </si>
  <si>
    <t>РО 1.1</t>
  </si>
  <si>
    <t>Укреплять здоровье и соблюдать принципы здорового образа жизни.</t>
  </si>
  <si>
    <t>Совершенствовать физические качества и психофизиологические способности.</t>
  </si>
  <si>
    <t>РО 1.2</t>
  </si>
  <si>
    <t>РО 2.1</t>
  </si>
  <si>
    <t>РО 2.2</t>
  </si>
  <si>
    <t>Владеть основами информационно-коммуникационных технологий.</t>
  </si>
  <si>
    <t>Использовать услуги информационно-справочных и интерактивных веб-порталов.</t>
  </si>
  <si>
    <t>РО 3.1</t>
  </si>
  <si>
    <t xml:space="preserve"> Владеть основными вопросами в области экономической теории</t>
  </si>
  <si>
    <t>Понимать тенденции развития мировой экономики, основные задачи перехода государства к «зеленой» экономике</t>
  </si>
  <si>
    <t>Владеть научными и законодательными основами организации и ведения предпринимательской деятельности в Республике Казахстан.</t>
  </si>
  <si>
    <t>Соблюдать этику делового общения.</t>
  </si>
  <si>
    <t>РО 3.2</t>
  </si>
  <si>
    <t>РО 3.3</t>
  </si>
  <si>
    <t>РО 3.4</t>
  </si>
  <si>
    <t>РО 3.5</t>
  </si>
  <si>
    <t xml:space="preserve">РО 1.1 </t>
  </si>
  <si>
    <t xml:space="preserve">РО 1.2 </t>
  </si>
  <si>
    <t>РО 1.3</t>
  </si>
  <si>
    <t xml:space="preserve">Создавать визуальный дизайн элементов графического пользовательского интерфейса. </t>
  </si>
  <si>
    <t xml:space="preserve">Подготавливатьграфические материалы для включения в графический интерфейс. </t>
  </si>
  <si>
    <t xml:space="preserve">РО 2.1 </t>
  </si>
  <si>
    <t xml:space="preserve">РО 2.2 </t>
  </si>
  <si>
    <t xml:space="preserve">РО 2.3 </t>
  </si>
  <si>
    <t>РО 2.4</t>
  </si>
  <si>
    <t>Разрабатывать front-end web-ресурсов</t>
  </si>
  <si>
    <t>Применять аппаратные и программные компоненты компьютерных сетей при решении различных задач</t>
  </si>
  <si>
    <t xml:space="preserve">Подготавливать макеты дизайна </t>
  </si>
  <si>
    <t xml:space="preserve">РО 3.1 </t>
  </si>
  <si>
    <t xml:space="preserve">РО 3.3 </t>
  </si>
  <si>
    <t xml:space="preserve">Устанавливать систему управления веб контентом. </t>
  </si>
  <si>
    <t xml:space="preserve"> Настраивать безопасность и защиту на Content Management Systems.</t>
  </si>
  <si>
    <t xml:space="preserve"> Создавать пользовательские шаблоны, плагины для систем управления контентом.</t>
  </si>
  <si>
    <t xml:space="preserve">РО 4.1 </t>
  </si>
  <si>
    <t>РО 4.2</t>
  </si>
  <si>
    <t xml:space="preserve">РО 4.3 </t>
  </si>
  <si>
    <t>РО 4.4</t>
  </si>
  <si>
    <t xml:space="preserve">Осуществлять постановку цели и задачи и вырабатывать требования к программному обеспечению. </t>
  </si>
  <si>
    <t>Разрабатывать технические спецификации на программные компоненты.</t>
  </si>
  <si>
    <t xml:space="preserve">Выбирать методы и стратегии разработки программного обеспечения. </t>
  </si>
  <si>
    <t>Применять основы  высшей, дискретной математики, численных методов, математической статистики в проектировании программного обеспечения</t>
  </si>
  <si>
    <t>Выбирать методы и стратегии разработки программного обеспечения</t>
  </si>
  <si>
    <t xml:space="preserve">Разрабатывать технические спецификации на программные компоненты </t>
  </si>
  <si>
    <t>РО 5.1</t>
  </si>
  <si>
    <t>РО 5.2</t>
  </si>
  <si>
    <t>РО 5.3</t>
  </si>
  <si>
    <t>РО 5.4</t>
  </si>
  <si>
    <t xml:space="preserve"> Выделять данные и подбирать способы программирования модулей программного обеспечения. </t>
  </si>
  <si>
    <t>Составлять блок-схему для каждого модуля программного обеспечения на основе дизайн-проекта</t>
  </si>
  <si>
    <t xml:space="preserve"> Разрабатывать схему взаимодействия подзадач и их объединение в одну задачу.</t>
  </si>
  <si>
    <t xml:space="preserve"> Определять структуру данных, входные и выходные данные.</t>
  </si>
  <si>
    <t>ПМ 6.3</t>
  </si>
  <si>
    <t>РО 6.1</t>
  </si>
  <si>
    <t>РО 6.3</t>
  </si>
  <si>
    <t>РО 6.4</t>
  </si>
  <si>
    <t>РО 6.2</t>
  </si>
  <si>
    <t>Создавать базы данных и хранилище данных, использовать функциональные возможности систем управления базами данных.</t>
  </si>
  <si>
    <t xml:space="preserve">Разрабатывать алгоритмы для обработки больших данных. </t>
  </si>
  <si>
    <t>Разрабатывать и использовать методы быстрого поиска и обработки данных.</t>
  </si>
  <si>
    <t>Разрабатывать тестовый набор и для верификации кода.</t>
  </si>
  <si>
    <t>Осуществлять анализ и проверку исходного программного кода программного обеспечения.</t>
  </si>
  <si>
    <t>Осуществлять отладку программного кода программного обеспечения на уровне программных модулей.</t>
  </si>
  <si>
    <t>Воспроизводить и устранять выявленные дефекты в программном коде.</t>
  </si>
  <si>
    <t>Формировать отчетную документацию</t>
  </si>
  <si>
    <t xml:space="preserve">Разрабатывать и оформлять контрольные примеры для проверки работоспособности программного кода. </t>
  </si>
  <si>
    <t>Осуществлять рефакторинг программного кода.</t>
  </si>
  <si>
    <t>РО 7.1</t>
  </si>
  <si>
    <t>РО 7.2</t>
  </si>
  <si>
    <t>РО 7.3</t>
  </si>
  <si>
    <t>РО 7.4</t>
  </si>
  <si>
    <t>РО 7.5</t>
  </si>
  <si>
    <t>РО 7.6</t>
  </si>
  <si>
    <t>РО 8.1</t>
  </si>
  <si>
    <t>РО 8.2</t>
  </si>
  <si>
    <t>РО 8.3</t>
  </si>
  <si>
    <t>РО 8.4</t>
  </si>
  <si>
    <t>Создавать визуальный дизайн элементов графического пользовательского интерфейса.</t>
  </si>
  <si>
    <t>Разрабатывать front-end и  back-end web-ресурсов.</t>
  </si>
  <si>
    <t>Применять язык програграммивания Python при разработке web-приложений</t>
  </si>
  <si>
    <t>Устанавливать систему управления веб контентом.</t>
  </si>
  <si>
    <t>РО 9.1</t>
  </si>
  <si>
    <t>РО 9.2</t>
  </si>
  <si>
    <t>РО 9.3</t>
  </si>
  <si>
    <t>РО 9.4</t>
  </si>
  <si>
    <t>Определять требования к микропроцессору и разрабатывать алгоритм управления.</t>
  </si>
  <si>
    <t xml:space="preserve">Осуществлять коррекцию схем и топологии микроконтроллеров. </t>
  </si>
  <si>
    <t>Устранять выявленные дефекты в программном коде.</t>
  </si>
  <si>
    <t>Разрабатывать и оформлять контрольные примеры для проверки работоспособности программного кода.</t>
  </si>
  <si>
    <t>РО 10.1</t>
  </si>
  <si>
    <t>РО 10.2</t>
  </si>
  <si>
    <t>РО 10.3</t>
  </si>
  <si>
    <t>РО 10.4</t>
  </si>
  <si>
    <t xml:space="preserve">Создавать базы данных и хранилище данных, использовать функциональные возможности систем управления базами данных. </t>
  </si>
  <si>
    <t xml:space="preserve">Разрабатывать и использовать методы быстрого поиска и обработки данных. </t>
  </si>
  <si>
    <t>Разрабатывать алгоритмы на языке программирования высокого уровня при решении экономических задач.</t>
  </si>
  <si>
    <t xml:space="preserve">  </t>
  </si>
  <si>
    <t>РО 11.1</t>
  </si>
  <si>
    <t>РО 11.2</t>
  </si>
  <si>
    <t>РО 11.3</t>
  </si>
  <si>
    <t>РО 11.4</t>
  </si>
  <si>
    <t>РО 11.5</t>
  </si>
  <si>
    <t>Проектировать приложение при помощи макета приложений</t>
  </si>
  <si>
    <t xml:space="preserve">Работать со стандартными сервисами платформы. </t>
  </si>
  <si>
    <t>Использовать технологии работы с базами данных.</t>
  </si>
  <si>
    <t>Использовать технологии работы с различными протоколами обмена  данными.</t>
  </si>
  <si>
    <t>Тестировать мобильные приложения.</t>
  </si>
  <si>
    <t xml:space="preserve">РО 4.2 </t>
  </si>
  <si>
    <t xml:space="preserve">РО 4.4 </t>
  </si>
  <si>
    <t>Понимать морально-нравственные ценности и нормы, формирующие толерантность и активную личностную позицию.</t>
  </si>
  <si>
    <t>Понимать роль и место культуры народов Республики Казахстан в мировой цивилизации.</t>
  </si>
  <si>
    <t>Владеть сведениями об основных отраслях права.</t>
  </si>
  <si>
    <t>Владеть основными понятиями социологии и политологии.</t>
  </si>
  <si>
    <t>Анализировать и оценивать экономические и экологические процессы, происходящие на предприятии.</t>
  </si>
  <si>
    <r>
      <t xml:space="preserve">Результаты обучения: </t>
    </r>
    <r>
      <rPr>
        <sz val="10"/>
        <rFont val="Times New Roman"/>
        <family val="1"/>
        <charset val="204"/>
      </rPr>
      <t>3.1 Владеть основными вопросами в области экономической теории. 3.2 Анализировать и оценивать экономические и экологические процессы, происходящие на предприятии. 3.3 Понимать тенденции развития мировой экономики, основные задачи перехода государства к «зеленой» экономике. 3.4 Владеть научными и законодательными основами организации и ведения предпринимательской деятельности в Республике Казахстан. 3.5 Соблюдать этику делового общения.</t>
    </r>
  </si>
  <si>
    <t>РО 3.2 Анализировать и оценивать экономические и экологические процессы, происходящие на предприятии.</t>
  </si>
  <si>
    <r>
      <t xml:space="preserve">ТО </t>
    </r>
    <r>
      <rPr>
        <sz val="5"/>
        <rFont val="Arial Cyr"/>
        <charset val="204"/>
      </rPr>
      <t>ПО</t>
    </r>
  </si>
  <si>
    <t>Разрабатывать back-end web-ресурсов.</t>
  </si>
  <si>
    <t>Наименование дисциплины                         Наименование РО</t>
  </si>
  <si>
    <t>Развитие и совершенствование физических качеств</t>
  </si>
  <si>
    <t>3.3 Матрица РО по дисциплинам</t>
  </si>
  <si>
    <t xml:space="preserve">Итого: </t>
  </si>
  <si>
    <t>Итого:</t>
  </si>
  <si>
    <t>ИТОГ</t>
  </si>
  <si>
    <t>5 семестр 16 недель</t>
  </si>
  <si>
    <t>6 семестр 22 недель</t>
  </si>
  <si>
    <t>7 семестр 16 недель</t>
  </si>
  <si>
    <t xml:space="preserve">8 семестр 22 недель </t>
  </si>
  <si>
    <r>
      <rPr>
        <u/>
        <sz val="5"/>
        <rFont val="Arial Cyr"/>
        <charset val="204"/>
      </rPr>
      <t>ТО</t>
    </r>
    <r>
      <rPr>
        <sz val="5"/>
        <rFont val="Arial Cyr"/>
        <charset val="204"/>
      </rPr>
      <t xml:space="preserve"> ПО</t>
    </r>
  </si>
  <si>
    <t>Прикладное программирование в 1С: Предприятие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</si>
</sst>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5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1"/>
      <scheme val="minor"/>
    </font>
    <font>
      <sz val="10"/>
      <name val="Arial Cyr"/>
      <charset val="204"/>
    </font>
    <font>
      <sz val="8"/>
      <name val="Arial Cyr"/>
      <charset val="204"/>
    </font>
    <font>
      <b/>
      <sz val="11"/>
      <name val="Arial Cyr"/>
      <charset val="204"/>
    </font>
    <font>
      <sz val="7.5"/>
      <name val="Arial Cyr"/>
      <charset val="204"/>
    </font>
    <font>
      <sz val="7"/>
      <name val="Arial Cyr"/>
      <charset val="204"/>
    </font>
    <font>
      <b/>
      <sz val="6"/>
      <name val="Arial Cyr"/>
      <charset val="204"/>
    </font>
    <font>
      <sz val="6"/>
      <name val="Arial Cyr"/>
      <charset val="204"/>
    </font>
    <font>
      <b/>
      <sz val="9"/>
      <name val="Arial Cyr"/>
      <charset val="204"/>
    </font>
    <font>
      <b/>
      <sz val="7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  <charset val="204"/>
    </font>
    <font>
      <b/>
      <i/>
      <sz val="10"/>
      <name val="Times New Roman"/>
      <family val="1"/>
    </font>
    <font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5"/>
      <color theme="1"/>
      <name val="Times New Roman"/>
      <family val="1"/>
      <charset val="204"/>
    </font>
    <font>
      <u/>
      <sz val="7"/>
      <name val="Arial Cyr"/>
      <charset val="204"/>
    </font>
    <font>
      <sz val="5"/>
      <name val="Arial Cyr"/>
      <charset val="204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u/>
      <sz val="5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6"/>
      <color theme="1"/>
      <name val="Times New Roman"/>
      <family val="1"/>
    </font>
    <font>
      <sz val="6"/>
      <name val="Times New Roman"/>
      <family val="1"/>
    </font>
    <font>
      <b/>
      <sz val="6"/>
      <name val="Times New Roman"/>
      <family val="1"/>
    </font>
    <font>
      <b/>
      <sz val="5"/>
      <name val="Times New Roman"/>
      <family val="1"/>
    </font>
    <font>
      <sz val="5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/>
    <xf numFmtId="0" fontId="3" fillId="0" borderId="0"/>
    <xf numFmtId="0" fontId="2" fillId="0" borderId="0"/>
    <xf numFmtId="0" fontId="15" fillId="0" borderId="0"/>
    <xf numFmtId="164" fontId="15" fillId="0" borderId="0" applyFont="0" applyFill="0" applyBorder="0" applyAlignment="0" applyProtection="0"/>
    <xf numFmtId="0" fontId="1" fillId="0" borderId="0"/>
  </cellStyleXfs>
  <cellXfs count="718">
    <xf numFmtId="0" fontId="0" fillId="0" borderId="0" xfId="0"/>
    <xf numFmtId="0" fontId="4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7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7" xfId="0" applyFont="1" applyBorder="1" applyAlignment="1">
      <alignment wrapText="1"/>
    </xf>
    <xf numFmtId="49" fontId="8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4" fillId="0" borderId="0" xfId="0" applyFont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1" xfId="1" applyFont="1" applyBorder="1" applyAlignment="1">
      <alignment horizontal="justify" vertical="top" wrapText="1"/>
    </xf>
    <xf numFmtId="0" fontId="5" fillId="0" borderId="1" xfId="2" applyFont="1" applyBorder="1" applyAlignment="1">
      <alignment horizontal="center" vertical="center" wrapText="1"/>
    </xf>
    <xf numFmtId="0" fontId="10" fillId="0" borderId="1" xfId="1" applyFont="1" applyBorder="1" applyAlignment="1">
      <alignment horizontal="justify" vertical="top" wrapText="1"/>
    </xf>
    <xf numFmtId="0" fontId="11" fillId="0" borderId="1" xfId="1" applyFont="1" applyBorder="1" applyAlignment="1">
      <alignment horizontal="justify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distributed" vertical="distributed" wrapText="1" indent="21"/>
    </xf>
    <xf numFmtId="0" fontId="5" fillId="0" borderId="1" xfId="1" applyFont="1" applyBorder="1" applyAlignment="1">
      <alignment horizontal="center" textRotation="90"/>
    </xf>
    <xf numFmtId="0" fontId="5" fillId="0" borderId="1" xfId="1" applyFont="1" applyFill="1" applyBorder="1" applyAlignment="1">
      <alignment horizontal="center" textRotation="90" wrapText="1"/>
    </xf>
    <xf numFmtId="0" fontId="5" fillId="0" borderId="1" xfId="0" applyFont="1" applyBorder="1" applyAlignment="1">
      <alignment horizontal="center" textRotation="90"/>
    </xf>
    <xf numFmtId="0" fontId="5" fillId="0" borderId="1" xfId="1" applyFont="1" applyFill="1" applyBorder="1" applyAlignment="1">
      <alignment horizontal="center" textRotation="90"/>
    </xf>
    <xf numFmtId="0" fontId="5" fillId="2" borderId="1" xfId="1" applyFont="1" applyFill="1" applyBorder="1" applyAlignment="1">
      <alignment horizontal="center" textRotation="90"/>
    </xf>
    <xf numFmtId="0" fontId="5" fillId="2" borderId="1" xfId="1" applyFont="1" applyFill="1" applyBorder="1" applyAlignment="1">
      <alignment horizontal="center" textRotation="90" wrapText="1"/>
    </xf>
    <xf numFmtId="0" fontId="5" fillId="0" borderId="1" xfId="0" applyFont="1" applyBorder="1" applyAlignment="1">
      <alignment horizontal="center" textRotation="90" wrapText="1"/>
    </xf>
    <xf numFmtId="0" fontId="12" fillId="0" borderId="1" xfId="0" applyFont="1" applyFill="1" applyBorder="1" applyAlignment="1">
      <alignment horizontal="center" textRotation="90" wrapText="1"/>
    </xf>
    <xf numFmtId="0" fontId="11" fillId="2" borderId="1" xfId="0" applyFont="1" applyFill="1" applyBorder="1" applyAlignment="1">
      <alignment horizontal="center" textRotation="90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5" fillId="0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textRotation="90" wrapText="1"/>
    </xf>
    <xf numFmtId="49" fontId="8" fillId="0" borderId="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textRotation="90" wrapText="1"/>
    </xf>
    <xf numFmtId="0" fontId="16" fillId="0" borderId="0" xfId="3" applyFont="1"/>
    <xf numFmtId="0" fontId="16" fillId="0" borderId="0" xfId="3" applyFont="1" applyAlignment="1"/>
    <xf numFmtId="0" fontId="17" fillId="0" borderId="0" xfId="3" applyFont="1" applyBorder="1" applyAlignment="1"/>
    <xf numFmtId="0" fontId="16" fillId="0" borderId="0" xfId="3" applyFont="1" applyBorder="1" applyAlignment="1"/>
    <xf numFmtId="0" fontId="16" fillId="0" borderId="0" xfId="3" applyFont="1" applyAlignment="1">
      <alignment horizontal="left"/>
    </xf>
    <xf numFmtId="0" fontId="15" fillId="0" borderId="0" xfId="3" applyAlignment="1"/>
    <xf numFmtId="0" fontId="18" fillId="0" borderId="0" xfId="3" applyFont="1" applyBorder="1" applyAlignment="1">
      <alignment horizontal="center" wrapText="1"/>
    </xf>
    <xf numFmtId="0" fontId="18" fillId="0" borderId="8" xfId="3" applyFont="1" applyBorder="1" applyAlignment="1">
      <alignment horizontal="center" vertical="center" textRotation="90" wrapText="1"/>
    </xf>
    <xf numFmtId="0" fontId="15" fillId="0" borderId="0" xfId="3" applyBorder="1" applyAlignment="1"/>
    <xf numFmtId="0" fontId="19" fillId="0" borderId="0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0" fontId="19" fillId="0" borderId="0" xfId="3" applyFont="1" applyBorder="1" applyAlignment="1">
      <alignment vertical="center"/>
    </xf>
    <xf numFmtId="0" fontId="19" fillId="0" borderId="0" xfId="3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20" fillId="3" borderId="3" xfId="3" applyFont="1" applyFill="1" applyBorder="1" applyAlignment="1">
      <alignment horizontal="center" vertical="center" textRotation="90"/>
    </xf>
    <xf numFmtId="0" fontId="19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21" fillId="0" borderId="1" xfId="3" applyFont="1" applyBorder="1" applyAlignment="1">
      <alignment horizontal="distributed" vertical="distributed" wrapText="1"/>
    </xf>
    <xf numFmtId="0" fontId="19" fillId="0" borderId="10" xfId="3" applyFont="1" applyBorder="1" applyAlignment="1">
      <alignment horizontal="center" vertical="center"/>
    </xf>
    <xf numFmtId="0" fontId="19" fillId="0" borderId="0" xfId="3" applyFont="1" applyBorder="1" applyAlignment="1">
      <alignment vertical="center" wrapText="1"/>
    </xf>
    <xf numFmtId="0" fontId="16" fillId="0" borderId="0" xfId="3" applyFont="1" applyBorder="1" applyAlignment="1">
      <alignment wrapText="1"/>
    </xf>
    <xf numFmtId="0" fontId="19" fillId="0" borderId="0" xfId="3" applyFont="1" applyBorder="1" applyAlignment="1">
      <alignment wrapText="1"/>
    </xf>
    <xf numFmtId="0" fontId="19" fillId="0" borderId="0" xfId="3" applyFont="1" applyBorder="1" applyAlignment="1">
      <alignment horizontal="left" wrapText="1"/>
    </xf>
    <xf numFmtId="0" fontId="16" fillId="0" borderId="0" xfId="3" applyFont="1" applyBorder="1"/>
    <xf numFmtId="0" fontId="19" fillId="0" borderId="0" xfId="3" applyFont="1" applyBorder="1" applyAlignment="1"/>
    <xf numFmtId="0" fontId="19" fillId="0" borderId="0" xfId="3" applyFont="1" applyAlignment="1"/>
    <xf numFmtId="0" fontId="23" fillId="0" borderId="0" xfId="3" applyFont="1" applyAlignment="1"/>
    <xf numFmtId="0" fontId="23" fillId="0" borderId="0" xfId="3" applyFont="1" applyBorder="1"/>
    <xf numFmtId="0" fontId="16" fillId="0" borderId="2" xfId="3" applyFont="1" applyBorder="1" applyAlignment="1"/>
    <xf numFmtId="0" fontId="16" fillId="0" borderId="1" xfId="3" applyFont="1" applyBorder="1" applyAlignment="1"/>
    <xf numFmtId="0" fontId="23" fillId="0" borderId="0" xfId="3" applyFont="1"/>
    <xf numFmtId="0" fontId="16" fillId="0" borderId="2" xfId="3" applyFont="1" applyBorder="1"/>
    <xf numFmtId="0" fontId="16" fillId="0" borderId="1" xfId="3" applyFont="1" applyBorder="1"/>
    <xf numFmtId="164" fontId="16" fillId="0" borderId="0" xfId="4" applyFont="1"/>
    <xf numFmtId="0" fontId="16" fillId="0" borderId="0" xfId="3" applyFont="1" applyBorder="1" applyAlignment="1">
      <alignment horizontal="left"/>
    </xf>
    <xf numFmtId="0" fontId="15" fillId="0" borderId="0" xfId="3"/>
    <xf numFmtId="0" fontId="24" fillId="0" borderId="0" xfId="3" applyFont="1"/>
    <xf numFmtId="0" fontId="24" fillId="0" borderId="1" xfId="3" applyFont="1" applyBorder="1" applyAlignment="1">
      <alignment horizontal="center" vertical="center" wrapText="1"/>
    </xf>
    <xf numFmtId="0" fontId="27" fillId="0" borderId="0" xfId="3" applyFont="1" applyFill="1" applyBorder="1" applyAlignment="1"/>
    <xf numFmtId="0" fontId="28" fillId="0" borderId="0" xfId="3" applyFont="1" applyFill="1"/>
    <xf numFmtId="0" fontId="29" fillId="0" borderId="0" xfId="3" applyFont="1" applyFill="1"/>
    <xf numFmtId="0" fontId="27" fillId="0" borderId="0" xfId="3" applyFont="1" applyFill="1" applyBorder="1"/>
    <xf numFmtId="0" fontId="27" fillId="0" borderId="0" xfId="3" applyFont="1" applyFill="1"/>
    <xf numFmtId="0" fontId="26" fillId="0" borderId="3" xfId="3" applyFont="1" applyFill="1" applyBorder="1" applyAlignment="1">
      <alignment textRotation="90" wrapText="1"/>
    </xf>
    <xf numFmtId="0" fontId="26" fillId="0" borderId="3" xfId="3" applyFont="1" applyFill="1" applyBorder="1" applyAlignment="1">
      <alignment vertical="center" textRotation="90" readingOrder="1"/>
    </xf>
    <xf numFmtId="0" fontId="26" fillId="0" borderId="14" xfId="3" applyFont="1" applyFill="1" applyBorder="1" applyAlignment="1">
      <alignment textRotation="90" wrapText="1"/>
    </xf>
    <xf numFmtId="0" fontId="26" fillId="0" borderId="1" xfId="3" applyFont="1" applyFill="1" applyBorder="1" applyAlignment="1">
      <alignment vertical="center" textRotation="90" wrapText="1"/>
    </xf>
    <xf numFmtId="0" fontId="26" fillId="0" borderId="2" xfId="3" applyFont="1" applyFill="1" applyBorder="1" applyAlignment="1">
      <alignment horizontal="center" vertical="center" textRotation="90" wrapText="1"/>
    </xf>
    <xf numFmtId="0" fontId="26" fillId="0" borderId="1" xfId="3" applyFont="1" applyFill="1" applyBorder="1" applyAlignment="1">
      <alignment horizontal="center" vertical="center" textRotation="90" wrapText="1"/>
    </xf>
    <xf numFmtId="0" fontId="26" fillId="2" borderId="1" xfId="3" applyFont="1" applyFill="1" applyBorder="1" applyAlignment="1">
      <alignment horizontal="center" vertical="center" textRotation="90" wrapText="1"/>
    </xf>
    <xf numFmtId="0" fontId="28" fillId="0" borderId="0" xfId="3" applyFont="1" applyFill="1" applyBorder="1"/>
    <xf numFmtId="0" fontId="29" fillId="0" borderId="0" xfId="3" applyFont="1" applyFill="1" applyBorder="1"/>
    <xf numFmtId="0" fontId="26" fillId="0" borderId="1" xfId="3" applyNumberFormat="1" applyFont="1" applyFill="1" applyBorder="1" applyAlignment="1">
      <alignment horizontal="center"/>
    </xf>
    <xf numFmtId="0" fontId="26" fillId="0" borderId="1" xfId="3" applyFont="1" applyFill="1" applyBorder="1" applyAlignment="1">
      <alignment horizontal="center"/>
    </xf>
    <xf numFmtId="0" fontId="26" fillId="0" borderId="0" xfId="3" applyFont="1" applyFill="1" applyBorder="1"/>
    <xf numFmtId="0" fontId="26" fillId="0" borderId="0" xfId="3" applyFont="1" applyFill="1"/>
    <xf numFmtId="0" fontId="26" fillId="0" borderId="10" xfId="3" applyFont="1" applyFill="1" applyBorder="1" applyAlignment="1">
      <alignment horizontal="center"/>
    </xf>
    <xf numFmtId="0" fontId="29" fillId="0" borderId="1" xfId="3" applyFont="1" applyFill="1" applyBorder="1" applyAlignment="1">
      <alignment horizontal="center"/>
    </xf>
    <xf numFmtId="0" fontId="26" fillId="2" borderId="1" xfId="3" applyFont="1" applyFill="1" applyBorder="1" applyAlignment="1">
      <alignment horizontal="center"/>
    </xf>
    <xf numFmtId="0" fontId="28" fillId="0" borderId="1" xfId="3" applyFont="1" applyFill="1" applyBorder="1" applyAlignment="1">
      <alignment horizontal="right"/>
    </xf>
    <xf numFmtId="2" fontId="26" fillId="0" borderId="1" xfId="3" applyNumberFormat="1" applyFont="1" applyFill="1" applyBorder="1" applyAlignment="1">
      <alignment horizontal="center"/>
    </xf>
    <xf numFmtId="49" fontId="26" fillId="0" borderId="1" xfId="3" applyNumberFormat="1" applyFont="1" applyFill="1" applyBorder="1" applyAlignment="1">
      <alignment horizontal="center" vertical="center"/>
    </xf>
    <xf numFmtId="0" fontId="30" fillId="0" borderId="1" xfId="3" applyFont="1" applyFill="1" applyBorder="1" applyAlignment="1">
      <alignment vertical="center" wrapText="1"/>
    </xf>
    <xf numFmtId="0" fontId="28" fillId="0" borderId="1" xfId="3" applyFont="1" applyFill="1" applyBorder="1" applyAlignment="1">
      <alignment vertical="center"/>
    </xf>
    <xf numFmtId="0" fontId="29" fillId="0" borderId="1" xfId="3" applyFont="1" applyFill="1" applyBorder="1" applyAlignment="1">
      <alignment vertical="center"/>
    </xf>
    <xf numFmtId="0" fontId="28" fillId="2" borderId="1" xfId="3" applyFont="1" applyFill="1" applyBorder="1" applyAlignment="1">
      <alignment vertical="center"/>
    </xf>
    <xf numFmtId="0" fontId="27" fillId="0" borderId="0" xfId="3" applyFont="1" applyFill="1" applyAlignment="1">
      <alignment vertical="center"/>
    </xf>
    <xf numFmtId="0" fontId="28" fillId="0" borderId="0" xfId="3" applyFont="1" applyFill="1" applyBorder="1" applyAlignment="1">
      <alignment vertical="center"/>
    </xf>
    <xf numFmtId="0" fontId="29" fillId="0" borderId="0" xfId="3" applyFont="1" applyFill="1" applyBorder="1" applyAlignment="1">
      <alignment vertical="center"/>
    </xf>
    <xf numFmtId="0" fontId="28" fillId="0" borderId="0" xfId="3" applyFont="1" applyFill="1" applyAlignment="1">
      <alignment vertical="center"/>
    </xf>
    <xf numFmtId="0" fontId="27" fillId="0" borderId="1" xfId="3" applyFont="1" applyFill="1" applyBorder="1" applyAlignment="1">
      <alignment vertical="center"/>
    </xf>
    <xf numFmtId="0" fontId="31" fillId="0" borderId="1" xfId="5" applyFont="1" applyFill="1" applyBorder="1" applyAlignment="1">
      <alignment horizontal="right" vertical="center"/>
    </xf>
    <xf numFmtId="0" fontId="27" fillId="2" borderId="1" xfId="3" applyFont="1" applyFill="1" applyBorder="1" applyAlignment="1">
      <alignment vertical="center"/>
    </xf>
    <xf numFmtId="49" fontId="27" fillId="0" borderId="1" xfId="3" applyNumberFormat="1" applyFont="1" applyFill="1" applyBorder="1" applyAlignment="1">
      <alignment horizontal="left" vertical="center"/>
    </xf>
    <xf numFmtId="0" fontId="32" fillId="0" borderId="1" xfId="5" applyFont="1" applyFill="1" applyBorder="1" applyAlignment="1">
      <alignment horizontal="right" vertical="center" wrapText="1"/>
    </xf>
    <xf numFmtId="0" fontId="26" fillId="4" borderId="1" xfId="3" applyNumberFormat="1" applyFont="1" applyFill="1" applyBorder="1"/>
    <xf numFmtId="0" fontId="26" fillId="4" borderId="1" xfId="3" applyFont="1" applyFill="1" applyBorder="1" applyAlignment="1">
      <alignment horizontal="center"/>
    </xf>
    <xf numFmtId="0" fontId="26" fillId="4" borderId="1" xfId="3" applyFont="1" applyFill="1" applyBorder="1"/>
    <xf numFmtId="0" fontId="29" fillId="4" borderId="1" xfId="3" applyFont="1" applyFill="1" applyBorder="1"/>
    <xf numFmtId="0" fontId="27" fillId="4" borderId="0" xfId="3" applyFont="1" applyFill="1" applyAlignment="1">
      <alignment vertical="center"/>
    </xf>
    <xf numFmtId="0" fontId="29" fillId="4" borderId="0" xfId="3" applyFont="1" applyFill="1" applyBorder="1"/>
    <xf numFmtId="0" fontId="28" fillId="4" borderId="0" xfId="3" applyFont="1" applyFill="1" applyBorder="1"/>
    <xf numFmtId="0" fontId="28" fillId="4" borderId="0" xfId="3" applyFont="1" applyFill="1"/>
    <xf numFmtId="49" fontId="29" fillId="5" borderId="1" xfId="3" applyNumberFormat="1" applyFont="1" applyFill="1" applyBorder="1" applyAlignment="1">
      <alignment vertical="center"/>
    </xf>
    <xf numFmtId="0" fontId="29" fillId="5" borderId="1" xfId="3" applyFont="1" applyFill="1" applyBorder="1" applyAlignment="1">
      <alignment vertical="center" wrapText="1"/>
    </xf>
    <xf numFmtId="0" fontId="29" fillId="5" borderId="1" xfId="3" applyFont="1" applyFill="1" applyBorder="1" applyAlignment="1">
      <alignment vertical="center"/>
    </xf>
    <xf numFmtId="0" fontId="29" fillId="5" borderId="1" xfId="3" applyFont="1" applyFill="1" applyBorder="1" applyAlignment="1">
      <alignment horizontal="right" vertical="center"/>
    </xf>
    <xf numFmtId="0" fontId="26" fillId="5" borderId="1" xfId="3" applyFont="1" applyFill="1" applyBorder="1" applyAlignment="1">
      <alignment horizontal="right" vertical="center"/>
    </xf>
    <xf numFmtId="0" fontId="27" fillId="5" borderId="0" xfId="3" applyFont="1" applyFill="1" applyAlignment="1">
      <alignment vertical="center"/>
    </xf>
    <xf numFmtId="0" fontId="29" fillId="5" borderId="0" xfId="3" applyFont="1" applyFill="1" applyBorder="1" applyAlignment="1">
      <alignment vertical="center"/>
    </xf>
    <xf numFmtId="0" fontId="29" fillId="5" borderId="0" xfId="3" applyFont="1" applyFill="1" applyAlignment="1">
      <alignment vertical="center"/>
    </xf>
    <xf numFmtId="49" fontId="29" fillId="0" borderId="1" xfId="3" applyNumberFormat="1" applyFont="1" applyFill="1" applyBorder="1" applyAlignment="1">
      <alignment vertical="center"/>
    </xf>
    <xf numFmtId="0" fontId="29" fillId="0" borderId="0" xfId="3" applyFont="1" applyFill="1" applyAlignment="1">
      <alignment vertical="center"/>
    </xf>
    <xf numFmtId="49" fontId="27" fillId="0" borderId="1" xfId="3" applyNumberFormat="1" applyFont="1" applyFill="1" applyBorder="1" applyAlignment="1">
      <alignment vertical="center"/>
    </xf>
    <xf numFmtId="0" fontId="28" fillId="2" borderId="1" xfId="3" applyFont="1" applyFill="1" applyBorder="1" applyAlignment="1">
      <alignment vertical="center" wrapText="1"/>
    </xf>
    <xf numFmtId="0" fontId="28" fillId="0" borderId="1" xfId="3" applyFont="1" applyFill="1" applyBorder="1" applyAlignment="1">
      <alignment vertical="center" wrapText="1"/>
    </xf>
    <xf numFmtId="0" fontId="29" fillId="5" borderId="8" xfId="3" applyFont="1" applyFill="1" applyBorder="1" applyAlignment="1">
      <alignment vertical="center" wrapText="1"/>
    </xf>
    <xf numFmtId="0" fontId="29" fillId="5" borderId="8" xfId="3" applyFont="1" applyFill="1" applyBorder="1" applyAlignment="1">
      <alignment vertical="center"/>
    </xf>
    <xf numFmtId="0" fontId="26" fillId="5" borderId="1" xfId="3" applyFont="1" applyFill="1" applyBorder="1" applyAlignment="1">
      <alignment horizontal="right" vertical="center" wrapText="1"/>
    </xf>
    <xf numFmtId="0" fontId="28" fillId="5" borderId="0" xfId="3" applyFont="1" applyFill="1" applyBorder="1" applyAlignment="1">
      <alignment vertical="center"/>
    </xf>
    <xf numFmtId="0" fontId="28" fillId="5" borderId="0" xfId="3" applyFont="1" applyFill="1" applyAlignment="1">
      <alignment vertical="center"/>
    </xf>
    <xf numFmtId="0" fontId="29" fillId="0" borderId="1" xfId="3" applyFont="1" applyFill="1" applyBorder="1" applyAlignment="1">
      <alignment vertical="center" wrapText="1"/>
    </xf>
    <xf numFmtId="0" fontId="28" fillId="0" borderId="1" xfId="3" applyFont="1" applyBorder="1" applyAlignment="1">
      <alignment vertical="center" wrapText="1"/>
    </xf>
    <xf numFmtId="0" fontId="28" fillId="0" borderId="2" xfId="3" applyFont="1" applyBorder="1" applyAlignment="1">
      <alignment vertical="center"/>
    </xf>
    <xf numFmtId="0" fontId="28" fillId="0" borderId="1" xfId="3" applyFont="1" applyBorder="1" applyAlignment="1">
      <alignment vertical="center"/>
    </xf>
    <xf numFmtId="0" fontId="29" fillId="0" borderId="1" xfId="3" applyFont="1" applyBorder="1" applyAlignment="1">
      <alignment horizontal="right" vertical="center" wrapText="1"/>
    </xf>
    <xf numFmtId="0" fontId="28" fillId="0" borderId="1" xfId="3" applyFont="1" applyBorder="1" applyAlignment="1">
      <alignment horizontal="right" vertical="center" wrapText="1"/>
    </xf>
    <xf numFmtId="0" fontId="28" fillId="0" borderId="2" xfId="3" applyFont="1" applyBorder="1" applyAlignment="1">
      <alignment horizontal="right" vertical="center" wrapText="1"/>
    </xf>
    <xf numFmtId="0" fontId="28" fillId="0" borderId="2" xfId="3" applyFont="1" applyBorder="1" applyAlignment="1">
      <alignment horizontal="right" vertical="center"/>
    </xf>
    <xf numFmtId="0" fontId="28" fillId="0" borderId="1" xfId="3" applyFont="1" applyBorder="1" applyAlignment="1">
      <alignment horizontal="right" vertical="center"/>
    </xf>
    <xf numFmtId="0" fontId="28" fillId="0" borderId="1" xfId="3" applyFont="1" applyFill="1" applyBorder="1" applyAlignment="1">
      <alignment horizontal="right" vertical="center"/>
    </xf>
    <xf numFmtId="0" fontId="28" fillId="0" borderId="8" xfId="3" applyFont="1" applyFill="1" applyBorder="1" applyAlignment="1">
      <alignment vertical="center" wrapText="1"/>
    </xf>
    <xf numFmtId="0" fontId="26" fillId="0" borderId="2" xfId="3" applyFont="1" applyFill="1" applyBorder="1" applyAlignment="1">
      <alignment vertical="center"/>
    </xf>
    <xf numFmtId="0" fontId="29" fillId="0" borderId="8" xfId="3" applyFont="1" applyFill="1" applyBorder="1" applyAlignment="1">
      <alignment horizontal="right" vertical="center"/>
    </xf>
    <xf numFmtId="0" fontId="28" fillId="0" borderId="8" xfId="3" applyFont="1" applyFill="1" applyBorder="1" applyAlignment="1">
      <alignment horizontal="right" vertical="center"/>
    </xf>
    <xf numFmtId="0" fontId="26" fillId="0" borderId="8" xfId="3" applyFont="1" applyFill="1" applyBorder="1" applyAlignment="1">
      <alignment horizontal="right" vertical="center"/>
    </xf>
    <xf numFmtId="0" fontId="26" fillId="0" borderId="5" xfId="3" applyFont="1" applyFill="1" applyBorder="1" applyAlignment="1">
      <alignment horizontal="right" vertical="center"/>
    </xf>
    <xf numFmtId="0" fontId="28" fillId="0" borderId="2" xfId="3" applyFont="1" applyFill="1" applyBorder="1" applyAlignment="1">
      <alignment horizontal="right" vertical="center"/>
    </xf>
    <xf numFmtId="0" fontId="27" fillId="0" borderId="8" xfId="3" applyFont="1" applyFill="1" applyBorder="1" applyAlignment="1">
      <alignment horizontal="right" vertical="center"/>
    </xf>
    <xf numFmtId="0" fontId="26" fillId="0" borderId="8" xfId="3" applyFont="1" applyFill="1" applyBorder="1" applyAlignment="1">
      <alignment vertical="center"/>
    </xf>
    <xf numFmtId="0" fontId="28" fillId="0" borderId="8" xfId="3" applyFont="1" applyFill="1" applyBorder="1" applyAlignment="1">
      <alignment vertical="center"/>
    </xf>
    <xf numFmtId="0" fontId="28" fillId="0" borderId="1" xfId="3" applyFont="1" applyFill="1" applyBorder="1" applyAlignment="1">
      <alignment horizontal="justify" vertical="center" wrapText="1"/>
    </xf>
    <xf numFmtId="0" fontId="26" fillId="0" borderId="1" xfId="3" applyFont="1" applyFill="1" applyBorder="1" applyAlignment="1">
      <alignment vertical="center"/>
    </xf>
    <xf numFmtId="0" fontId="29" fillId="0" borderId="1" xfId="3" applyFont="1" applyFill="1" applyBorder="1" applyAlignment="1">
      <alignment horizontal="right" vertical="center"/>
    </xf>
    <xf numFmtId="0" fontId="26" fillId="0" borderId="1" xfId="3" applyFont="1" applyFill="1" applyBorder="1" applyAlignment="1">
      <alignment horizontal="right" vertical="center"/>
    </xf>
    <xf numFmtId="0" fontId="27" fillId="0" borderId="1" xfId="3" applyFont="1" applyFill="1" applyBorder="1" applyAlignment="1">
      <alignment horizontal="right" vertical="center"/>
    </xf>
    <xf numFmtId="0" fontId="28" fillId="2" borderId="1" xfId="3" applyFont="1" applyFill="1" applyBorder="1" applyAlignment="1">
      <alignment horizontal="right" vertical="center"/>
    </xf>
    <xf numFmtId="49" fontId="29" fillId="4" borderId="1" xfId="3" applyNumberFormat="1" applyFont="1" applyFill="1" applyBorder="1" applyAlignment="1">
      <alignment vertical="center"/>
    </xf>
    <xf numFmtId="0" fontId="26" fillId="4" borderId="8" xfId="3" applyFont="1" applyFill="1" applyBorder="1" applyAlignment="1">
      <alignment vertical="center" wrapText="1"/>
    </xf>
    <xf numFmtId="0" fontId="28" fillId="4" borderId="2" xfId="3" applyFont="1" applyFill="1" applyBorder="1" applyAlignment="1">
      <alignment vertical="center"/>
    </xf>
    <xf numFmtId="0" fontId="26" fillId="4" borderId="1" xfId="3" applyFont="1" applyFill="1" applyBorder="1" applyAlignment="1">
      <alignment horizontal="right" vertical="center" wrapText="1"/>
    </xf>
    <xf numFmtId="0" fontId="29" fillId="4" borderId="1" xfId="3" applyFont="1" applyFill="1" applyBorder="1" applyAlignment="1">
      <alignment horizontal="right" vertical="center" wrapText="1"/>
    </xf>
    <xf numFmtId="0" fontId="29" fillId="4" borderId="0" xfId="3" applyFont="1" applyFill="1" applyBorder="1" applyAlignment="1">
      <alignment vertical="center"/>
    </xf>
    <xf numFmtId="0" fontId="28" fillId="4" borderId="0" xfId="3" applyFont="1" applyFill="1" applyBorder="1" applyAlignment="1">
      <alignment vertical="center"/>
    </xf>
    <xf numFmtId="0" fontId="28" fillId="4" borderId="0" xfId="3" applyFont="1" applyFill="1" applyAlignment="1">
      <alignment vertical="center"/>
    </xf>
    <xf numFmtId="49" fontId="28" fillId="0" borderId="1" xfId="3" applyNumberFormat="1" applyFont="1" applyFill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29" fillId="0" borderId="1" xfId="3" applyFont="1" applyBorder="1" applyAlignment="1">
      <alignment vertical="center"/>
    </xf>
    <xf numFmtId="0" fontId="27" fillId="0" borderId="1" xfId="3" applyFont="1" applyBorder="1" applyAlignment="1">
      <alignment vertical="center"/>
    </xf>
    <xf numFmtId="0" fontId="26" fillId="4" borderId="2" xfId="3" applyFont="1" applyFill="1" applyBorder="1" applyAlignment="1">
      <alignment vertical="center"/>
    </xf>
    <xf numFmtId="0" fontId="27" fillId="0" borderId="1" xfId="3" applyFont="1" applyFill="1" applyBorder="1" applyAlignment="1">
      <alignment horizontal="center" vertical="center" wrapText="1"/>
    </xf>
    <xf numFmtId="0" fontId="26" fillId="0" borderId="1" xfId="3" applyFont="1" applyFill="1" applyBorder="1" applyAlignment="1">
      <alignment vertical="center" wrapText="1"/>
    </xf>
    <xf numFmtId="0" fontId="27" fillId="0" borderId="1" xfId="3" applyFont="1" applyFill="1" applyBorder="1" applyAlignment="1">
      <alignment vertical="center" wrapText="1"/>
    </xf>
    <xf numFmtId="0" fontId="27" fillId="0" borderId="1" xfId="3" applyFont="1" applyFill="1" applyBorder="1" applyAlignment="1">
      <alignment horizontal="left" wrapText="1"/>
    </xf>
    <xf numFmtId="49" fontId="29" fillId="4" borderId="3" xfId="3" applyNumberFormat="1" applyFont="1" applyFill="1" applyBorder="1" applyAlignment="1">
      <alignment vertical="center"/>
    </xf>
    <xf numFmtId="0" fontId="26" fillId="4" borderId="1" xfId="3" applyFont="1" applyFill="1" applyBorder="1" applyAlignment="1">
      <alignment vertical="center" wrapText="1"/>
    </xf>
    <xf numFmtId="0" fontId="29" fillId="4" borderId="1" xfId="3" applyFont="1" applyFill="1" applyBorder="1" applyAlignment="1">
      <alignment horizontal="right" vertical="center"/>
    </xf>
    <xf numFmtId="49" fontId="29" fillId="0" borderId="3" xfId="3" applyNumberFormat="1" applyFont="1" applyFill="1" applyBorder="1" applyAlignment="1">
      <alignment vertical="center"/>
    </xf>
    <xf numFmtId="49" fontId="27" fillId="0" borderId="3" xfId="3" applyNumberFormat="1" applyFont="1" applyFill="1" applyBorder="1" applyAlignment="1">
      <alignment vertical="center"/>
    </xf>
    <xf numFmtId="0" fontId="27" fillId="0" borderId="2" xfId="3" applyFont="1" applyBorder="1" applyAlignment="1">
      <alignment vertical="center"/>
    </xf>
    <xf numFmtId="0" fontId="26" fillId="0" borderId="1" xfId="3" applyFont="1" applyBorder="1" applyAlignment="1">
      <alignment vertical="center"/>
    </xf>
    <xf numFmtId="0" fontId="27" fillId="0" borderId="1" xfId="3" applyFont="1" applyBorder="1" applyAlignment="1">
      <alignment horizontal="right" vertical="center" wrapText="1"/>
    </xf>
    <xf numFmtId="0" fontId="28" fillId="0" borderId="1" xfId="3" applyFont="1" applyFill="1" applyBorder="1" applyAlignment="1">
      <alignment horizontal="right" vertical="center" wrapText="1"/>
    </xf>
    <xf numFmtId="0" fontId="27" fillId="0" borderId="1" xfId="3" applyFont="1" applyFill="1" applyBorder="1" applyAlignment="1">
      <alignment horizontal="right" vertical="center" wrapText="1"/>
    </xf>
    <xf numFmtId="0" fontId="26" fillId="2" borderId="1" xfId="3" applyFont="1" applyFill="1" applyBorder="1" applyAlignment="1">
      <alignment horizontal="right" vertical="center" wrapText="1"/>
    </xf>
    <xf numFmtId="0" fontId="26" fillId="0" borderId="1" xfId="3" applyFont="1" applyBorder="1" applyAlignment="1">
      <alignment horizontal="right" vertical="center" wrapText="1"/>
    </xf>
    <xf numFmtId="49" fontId="33" fillId="6" borderId="1" xfId="3" applyNumberFormat="1" applyFont="1" applyFill="1" applyBorder="1" applyAlignment="1">
      <alignment horizontal="right"/>
    </xf>
    <xf numFmtId="0" fontId="32" fillId="6" borderId="8" xfId="3" applyFont="1" applyFill="1" applyBorder="1" applyAlignment="1">
      <alignment horizontal="right" vertical="top" wrapText="1"/>
    </xf>
    <xf numFmtId="0" fontId="26" fillId="6" borderId="2" xfId="3" applyFont="1" applyFill="1" applyBorder="1"/>
    <xf numFmtId="0" fontId="28" fillId="6" borderId="2" xfId="3" applyFont="1" applyFill="1" applyBorder="1"/>
    <xf numFmtId="0" fontId="27" fillId="6" borderId="2" xfId="3" applyFont="1" applyFill="1" applyBorder="1"/>
    <xf numFmtId="0" fontId="29" fillId="6" borderId="2" xfId="3" applyFont="1" applyFill="1" applyBorder="1" applyAlignment="1">
      <alignment horizontal="right" wrapText="1"/>
    </xf>
    <xf numFmtId="0" fontId="28" fillId="6" borderId="2" xfId="3" applyFont="1" applyFill="1" applyBorder="1" applyAlignment="1">
      <alignment horizontal="right" wrapText="1"/>
    </xf>
    <xf numFmtId="0" fontId="28" fillId="6" borderId="2" xfId="3" applyFont="1" applyFill="1" applyBorder="1" applyAlignment="1">
      <alignment vertical="center"/>
    </xf>
    <xf numFmtId="0" fontId="28" fillId="6" borderId="2" xfId="3" applyFont="1" applyFill="1" applyBorder="1" applyAlignment="1">
      <alignment horizontal="right"/>
    </xf>
    <xf numFmtId="0" fontId="27" fillId="6" borderId="0" xfId="3" applyFont="1" applyFill="1" applyAlignment="1">
      <alignment vertical="center"/>
    </xf>
    <xf numFmtId="0" fontId="29" fillId="6" borderId="0" xfId="3" applyFont="1" applyFill="1" applyBorder="1" applyAlignment="1">
      <alignment vertical="center"/>
    </xf>
    <xf numFmtId="0" fontId="28" fillId="6" borderId="0" xfId="3" applyFont="1" applyFill="1" applyBorder="1" applyAlignment="1">
      <alignment vertical="center"/>
    </xf>
    <xf numFmtId="0" fontId="28" fillId="6" borderId="0" xfId="3" applyFont="1" applyFill="1" applyAlignment="1">
      <alignment vertical="center"/>
    </xf>
    <xf numFmtId="49" fontId="29" fillId="5" borderId="1" xfId="3" applyNumberFormat="1" applyFont="1" applyFill="1" applyBorder="1"/>
    <xf numFmtId="0" fontId="29" fillId="5" borderId="1" xfId="3" applyFont="1" applyFill="1" applyBorder="1" applyAlignment="1">
      <alignment horizontal="right" vertical="top" wrapText="1"/>
    </xf>
    <xf numFmtId="0" fontId="29" fillId="5" borderId="2" xfId="3" applyFont="1" applyFill="1" applyBorder="1"/>
    <xf numFmtId="0" fontId="34" fillId="5" borderId="2" xfId="3" applyFont="1" applyFill="1" applyBorder="1"/>
    <xf numFmtId="0" fontId="29" fillId="5" borderId="0" xfId="3" applyFont="1" applyFill="1" applyBorder="1"/>
    <xf numFmtId="0" fontId="26" fillId="0" borderId="0" xfId="3" applyFont="1" applyFill="1" applyBorder="1" applyAlignment="1">
      <alignment vertical="center" wrapText="1"/>
    </xf>
    <xf numFmtId="0" fontId="27" fillId="2" borderId="0" xfId="3" applyFont="1" applyFill="1" applyAlignment="1">
      <alignment vertical="center"/>
    </xf>
    <xf numFmtId="0" fontId="28" fillId="0" borderId="2" xfId="3" applyFont="1" applyFill="1" applyBorder="1" applyAlignment="1">
      <alignment vertical="center"/>
    </xf>
    <xf numFmtId="0" fontId="29" fillId="0" borderId="1" xfId="3" applyFont="1" applyFill="1" applyBorder="1" applyAlignment="1">
      <alignment horizontal="right" vertical="center" wrapText="1"/>
    </xf>
    <xf numFmtId="0" fontId="28" fillId="0" borderId="2" xfId="3" applyFont="1" applyFill="1" applyBorder="1" applyAlignment="1">
      <alignment horizontal="right" vertical="center" wrapText="1"/>
    </xf>
    <xf numFmtId="0" fontId="26" fillId="0" borderId="1" xfId="3" applyFont="1" applyFill="1" applyBorder="1" applyAlignment="1">
      <alignment horizontal="right" vertical="center" wrapText="1"/>
    </xf>
    <xf numFmtId="49" fontId="28" fillId="0" borderId="3" xfId="3" applyNumberFormat="1" applyFont="1" applyFill="1" applyBorder="1" applyAlignment="1">
      <alignment vertical="center"/>
    </xf>
    <xf numFmtId="0" fontId="28" fillId="4" borderId="1" xfId="3" applyFont="1" applyFill="1" applyBorder="1" applyAlignment="1">
      <alignment vertical="center"/>
    </xf>
    <xf numFmtId="0" fontId="28" fillId="4" borderId="1" xfId="3" applyFont="1" applyFill="1" applyBorder="1" applyAlignment="1">
      <alignment horizontal="right" vertical="center" wrapText="1"/>
    </xf>
    <xf numFmtId="0" fontId="28" fillId="4" borderId="2" xfId="3" applyFont="1" applyFill="1" applyBorder="1" applyAlignment="1">
      <alignment horizontal="right" vertical="center" wrapText="1"/>
    </xf>
    <xf numFmtId="0" fontId="28" fillId="4" borderId="2" xfId="3" applyFont="1" applyFill="1" applyBorder="1" applyAlignment="1">
      <alignment horizontal="right" vertical="center"/>
    </xf>
    <xf numFmtId="0" fontId="28" fillId="4" borderId="1" xfId="3" applyFont="1" applyFill="1" applyBorder="1" applyAlignment="1">
      <alignment horizontal="right" vertical="center"/>
    </xf>
    <xf numFmtId="49" fontId="27" fillId="2" borderId="1" xfId="3" applyNumberFormat="1" applyFont="1" applyFill="1" applyBorder="1" applyAlignment="1">
      <alignment vertical="center"/>
    </xf>
    <xf numFmtId="0" fontId="29" fillId="2" borderId="0" xfId="3" applyFont="1" applyFill="1" applyBorder="1" applyAlignment="1">
      <alignment vertical="center"/>
    </xf>
    <xf numFmtId="0" fontId="28" fillId="2" borderId="0" xfId="3" applyFont="1" applyFill="1" applyBorder="1" applyAlignment="1">
      <alignment vertical="center"/>
    </xf>
    <xf numFmtId="0" fontId="28" fillId="2" borderId="0" xfId="3" applyFont="1" applyFill="1" applyAlignment="1">
      <alignment vertical="center"/>
    </xf>
    <xf numFmtId="0" fontId="29" fillId="4" borderId="1" xfId="3" applyFont="1" applyFill="1" applyBorder="1" applyAlignment="1">
      <alignment horizontal="left" vertical="top" wrapText="1"/>
    </xf>
    <xf numFmtId="0" fontId="29" fillId="2" borderId="1" xfId="3" applyFont="1" applyFill="1" applyBorder="1" applyAlignment="1">
      <alignment horizontal="left" vertical="top" wrapText="1"/>
    </xf>
    <xf numFmtId="0" fontId="29" fillId="4" borderId="8" xfId="3" applyFont="1" applyFill="1" applyBorder="1" applyAlignment="1">
      <alignment vertical="center" wrapText="1"/>
    </xf>
    <xf numFmtId="0" fontId="29" fillId="4" borderId="2" xfId="3" applyFont="1" applyFill="1" applyBorder="1" applyAlignment="1">
      <alignment vertical="center"/>
    </xf>
    <xf numFmtId="0" fontId="29" fillId="4" borderId="0" xfId="3" applyFont="1" applyFill="1" applyAlignment="1">
      <alignment vertical="center"/>
    </xf>
    <xf numFmtId="49" fontId="28" fillId="0" borderId="1" xfId="3" applyNumberFormat="1" applyFont="1" applyBorder="1" applyAlignment="1">
      <alignment vertical="center"/>
    </xf>
    <xf numFmtId="0" fontId="28" fillId="0" borderId="1" xfId="3" applyFont="1" applyBorder="1" applyAlignment="1">
      <alignment horizontal="justify" vertical="center" wrapText="1"/>
    </xf>
    <xf numFmtId="0" fontId="29" fillId="2" borderId="1" xfId="3" applyFont="1" applyFill="1" applyBorder="1" applyAlignment="1">
      <alignment horizontal="right" vertical="center" wrapText="1"/>
    </xf>
    <xf numFmtId="0" fontId="28" fillId="2" borderId="1" xfId="3" applyFont="1" applyFill="1" applyBorder="1" applyAlignment="1">
      <alignment horizontal="right" vertical="center" wrapText="1"/>
    </xf>
    <xf numFmtId="0" fontId="28" fillId="0" borderId="2" xfId="3" applyFont="1" applyFill="1" applyBorder="1" applyAlignment="1">
      <alignment horizontal="right"/>
    </xf>
    <xf numFmtId="0" fontId="32" fillId="0" borderId="8" xfId="3" applyFont="1" applyFill="1" applyBorder="1" applyAlignment="1">
      <alignment horizontal="right" vertical="center" wrapText="1"/>
    </xf>
    <xf numFmtId="0" fontId="26" fillId="0" borderId="2" xfId="3" applyFont="1" applyFill="1" applyBorder="1" applyAlignment="1">
      <alignment horizontal="right" vertical="center"/>
    </xf>
    <xf numFmtId="0" fontId="28" fillId="2" borderId="8" xfId="3" applyFont="1" applyFill="1" applyBorder="1" applyAlignment="1">
      <alignment vertical="center"/>
    </xf>
    <xf numFmtId="0" fontId="34" fillId="5" borderId="1" xfId="3" applyFont="1" applyFill="1" applyBorder="1" applyAlignment="1">
      <alignment horizontal="right" vertical="top" wrapText="1"/>
    </xf>
    <xf numFmtId="0" fontId="29" fillId="4" borderId="2" xfId="3" applyFont="1" applyFill="1" applyBorder="1" applyAlignment="1">
      <alignment horizontal="right" vertical="top" wrapText="1"/>
    </xf>
    <xf numFmtId="0" fontId="29" fillId="4" borderId="1" xfId="3" applyFont="1" applyFill="1" applyBorder="1" applyAlignment="1">
      <alignment horizontal="right" vertical="top" wrapText="1"/>
    </xf>
    <xf numFmtId="0" fontId="29" fillId="2" borderId="0" xfId="3" applyFont="1" applyFill="1" applyBorder="1"/>
    <xf numFmtId="0" fontId="27" fillId="0" borderId="1" xfId="3" applyFont="1" applyFill="1" applyBorder="1" applyAlignment="1">
      <alignment horizontal="left" vertical="center" wrapText="1"/>
    </xf>
    <xf numFmtId="0" fontId="27" fillId="0" borderId="2" xfId="3" applyFont="1" applyFill="1" applyBorder="1" applyAlignment="1">
      <alignment horizontal="right" vertical="top" wrapText="1"/>
    </xf>
    <xf numFmtId="0" fontId="27" fillId="0" borderId="1" xfId="3" applyFont="1" applyFill="1" applyBorder="1" applyAlignment="1">
      <alignment horizontal="right" vertical="top" wrapText="1"/>
    </xf>
    <xf numFmtId="0" fontId="29" fillId="0" borderId="1" xfId="3" applyFont="1" applyFill="1" applyBorder="1" applyAlignment="1">
      <alignment horizontal="right" vertical="top" wrapText="1"/>
    </xf>
    <xf numFmtId="0" fontId="28" fillId="0" borderId="10" xfId="3" applyFont="1" applyFill="1" applyBorder="1" applyAlignment="1">
      <alignment vertical="center" wrapText="1"/>
    </xf>
    <xf numFmtId="0" fontId="27" fillId="0" borderId="10" xfId="3" applyFont="1" applyBorder="1" applyAlignment="1">
      <alignment horizontal="justify" vertical="center" wrapText="1"/>
    </xf>
    <xf numFmtId="0" fontId="29" fillId="4" borderId="1" xfId="3" applyFont="1" applyFill="1" applyBorder="1" applyAlignment="1">
      <alignment vertical="center"/>
    </xf>
    <xf numFmtId="0" fontId="29" fillId="4" borderId="0" xfId="3" applyFont="1" applyFill="1"/>
    <xf numFmtId="0" fontId="28" fillId="0" borderId="10" xfId="3" applyFont="1" applyFill="1" applyBorder="1" applyAlignment="1">
      <alignment horizontal="justify" vertical="center" wrapText="1"/>
    </xf>
    <xf numFmtId="0" fontId="27" fillId="2" borderId="10" xfId="3" applyFont="1" applyFill="1" applyBorder="1" applyAlignment="1">
      <alignment vertical="center"/>
    </xf>
    <xf numFmtId="0" fontId="29" fillId="2" borderId="10" xfId="3" applyFont="1" applyFill="1" applyBorder="1" applyAlignment="1">
      <alignment horizontal="right" vertical="center" wrapText="1"/>
    </xf>
    <xf numFmtId="0" fontId="27" fillId="2" borderId="15" xfId="3" applyFont="1" applyFill="1" applyBorder="1" applyAlignment="1">
      <alignment horizontal="right" vertical="center" wrapText="1"/>
    </xf>
    <xf numFmtId="0" fontId="27" fillId="0" borderId="10" xfId="3" applyFont="1" applyFill="1" applyBorder="1" applyAlignment="1">
      <alignment vertical="center"/>
    </xf>
    <xf numFmtId="0" fontId="29" fillId="5" borderId="2" xfId="3" applyFont="1" applyFill="1" applyBorder="1" applyAlignment="1">
      <alignment vertical="center"/>
    </xf>
    <xf numFmtId="0" fontId="29" fillId="5" borderId="1" xfId="3" applyFont="1" applyFill="1" applyBorder="1" applyAlignment="1">
      <alignment horizontal="right" vertical="center" wrapText="1"/>
    </xf>
    <xf numFmtId="0" fontId="32" fillId="0" borderId="1" xfId="3" applyFont="1" applyFill="1" applyBorder="1" applyAlignment="1">
      <alignment horizontal="right" vertical="center" wrapText="1"/>
    </xf>
    <xf numFmtId="0" fontId="27" fillId="0" borderId="1" xfId="3" applyFont="1" applyFill="1" applyBorder="1" applyAlignment="1">
      <alignment horizontal="center" vertical="center"/>
    </xf>
    <xf numFmtId="0" fontId="29" fillId="4" borderId="1" xfId="3" applyFont="1" applyFill="1" applyBorder="1" applyAlignment="1">
      <alignment vertical="center" wrapText="1"/>
    </xf>
    <xf numFmtId="0" fontId="29" fillId="4" borderId="1" xfId="3" applyFont="1" applyFill="1" applyBorder="1" applyAlignment="1">
      <alignment horizontal="center" vertical="center"/>
    </xf>
    <xf numFmtId="0" fontId="27" fillId="4" borderId="1" xfId="3" applyFont="1" applyFill="1" applyBorder="1" applyAlignment="1">
      <alignment vertical="center"/>
    </xf>
    <xf numFmtId="0" fontId="26" fillId="4" borderId="1" xfId="3" applyFont="1" applyFill="1" applyBorder="1" applyAlignment="1">
      <alignment vertical="center"/>
    </xf>
    <xf numFmtId="0" fontId="28" fillId="0" borderId="1" xfId="3" applyFont="1" applyFill="1" applyBorder="1" applyAlignment="1">
      <alignment horizontal="center" vertical="center"/>
    </xf>
    <xf numFmtId="0" fontId="29" fillId="5" borderId="1" xfId="3" applyFont="1" applyFill="1" applyBorder="1" applyAlignment="1">
      <alignment horizontal="center" vertical="center"/>
    </xf>
    <xf numFmtId="0" fontId="28" fillId="7" borderId="1" xfId="3" applyFont="1" applyFill="1" applyBorder="1" applyAlignment="1">
      <alignment vertical="center"/>
    </xf>
    <xf numFmtId="0" fontId="26" fillId="7" borderId="1" xfId="3" applyFont="1" applyFill="1" applyBorder="1" applyAlignment="1">
      <alignment vertical="center" wrapText="1"/>
    </xf>
    <xf numFmtId="0" fontId="29" fillId="7" borderId="1" xfId="3" applyFont="1" applyFill="1" applyBorder="1" applyAlignment="1">
      <alignment vertical="center"/>
    </xf>
    <xf numFmtId="0" fontId="27" fillId="7" borderId="0" xfId="3" applyFont="1" applyFill="1" applyAlignment="1">
      <alignment vertical="center"/>
    </xf>
    <xf numFmtId="0" fontId="29" fillId="7" borderId="0" xfId="3" applyFont="1" applyFill="1" applyBorder="1" applyAlignment="1">
      <alignment vertical="center"/>
    </xf>
    <xf numFmtId="0" fontId="28" fillId="7" borderId="0" xfId="3" applyFont="1" applyFill="1" applyBorder="1" applyAlignment="1">
      <alignment vertical="center"/>
    </xf>
    <xf numFmtId="0" fontId="28" fillId="7" borderId="0" xfId="3" applyFont="1" applyFill="1" applyAlignment="1">
      <alignment vertical="center"/>
    </xf>
    <xf numFmtId="0" fontId="26" fillId="5" borderId="1" xfId="3" applyFont="1" applyFill="1" applyBorder="1" applyAlignment="1">
      <alignment vertical="center"/>
    </xf>
    <xf numFmtId="0" fontId="26" fillId="5" borderId="1" xfId="3" applyFont="1" applyFill="1" applyBorder="1" applyAlignment="1">
      <alignment vertical="center" wrapText="1"/>
    </xf>
    <xf numFmtId="0" fontId="28" fillId="5" borderId="1" xfId="3" applyFont="1" applyFill="1" applyBorder="1" applyAlignment="1">
      <alignment vertical="center"/>
    </xf>
    <xf numFmtId="0" fontId="28" fillId="5" borderId="10" xfId="3" applyFont="1" applyFill="1" applyBorder="1"/>
    <xf numFmtId="0" fontId="26" fillId="5" borderId="10" xfId="3" applyFont="1" applyFill="1" applyBorder="1"/>
    <xf numFmtId="0" fontId="27" fillId="5" borderId="0" xfId="3" applyFont="1" applyFill="1"/>
    <xf numFmtId="0" fontId="28" fillId="5" borderId="0" xfId="3" applyFont="1" applyFill="1" applyBorder="1"/>
    <xf numFmtId="0" fontId="28" fillId="5" borderId="0" xfId="3" applyFont="1" applyFill="1"/>
    <xf numFmtId="0" fontId="28" fillId="2" borderId="0" xfId="3" applyFont="1" applyFill="1"/>
    <xf numFmtId="0" fontId="26" fillId="0" borderId="1" xfId="3" applyFont="1" applyFill="1" applyBorder="1" applyAlignment="1">
      <alignment horizontal="center"/>
    </xf>
    <xf numFmtId="0" fontId="28" fillId="0" borderId="1" xfId="0" applyFont="1" applyFill="1" applyBorder="1" applyAlignment="1">
      <alignment vertical="center"/>
    </xf>
    <xf numFmtId="0" fontId="7" fillId="0" borderId="1" xfId="1" applyFont="1" applyBorder="1" applyAlignment="1">
      <alignment horizontal="right" vertical="center"/>
    </xf>
    <xf numFmtId="0" fontId="7" fillId="0" borderId="1" xfId="1" applyFont="1" applyBorder="1" applyAlignment="1">
      <alignment vertical="center"/>
    </xf>
    <xf numFmtId="0" fontId="29" fillId="0" borderId="1" xfId="1" applyFont="1" applyFill="1" applyBorder="1" applyAlignment="1">
      <alignment vertical="center"/>
    </xf>
    <xf numFmtId="0" fontId="27" fillId="0" borderId="1" xfId="1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35" fillId="0" borderId="1" xfId="1" applyFont="1" applyFill="1" applyBorder="1" applyAlignment="1">
      <alignment horizontal="right" vertical="center"/>
    </xf>
    <xf numFmtId="0" fontId="35" fillId="0" borderId="1" xfId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8" fillId="0" borderId="1" xfId="0" applyFont="1" applyFill="1" applyBorder="1" applyAlignment="1">
      <alignment vertical="center" wrapText="1"/>
    </xf>
    <xf numFmtId="0" fontId="36" fillId="0" borderId="1" xfId="0" applyFont="1" applyFill="1" applyBorder="1" applyAlignment="1">
      <alignment horizontal="right"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26" fillId="0" borderId="1" xfId="3" applyFont="1" applyFill="1" applyBorder="1" applyAlignment="1">
      <alignment horizontal="center"/>
    </xf>
    <xf numFmtId="0" fontId="26" fillId="0" borderId="10" xfId="3" applyNumberFormat="1" applyFont="1" applyFill="1" applyBorder="1" applyAlignment="1">
      <alignment horizontal="center"/>
    </xf>
    <xf numFmtId="0" fontId="19" fillId="0" borderId="1" xfId="3" applyFont="1" applyBorder="1" applyAlignment="1">
      <alignment vertical="center"/>
    </xf>
    <xf numFmtId="0" fontId="19" fillId="0" borderId="1" xfId="3" applyFont="1" applyFill="1" applyBorder="1" applyAlignment="1">
      <alignment horizontal="center" vertical="center" textRotation="90"/>
    </xf>
    <xf numFmtId="0" fontId="19" fillId="3" borderId="1" xfId="3" applyFont="1" applyFill="1" applyBorder="1" applyAlignment="1">
      <alignment vertical="center"/>
    </xf>
    <xf numFmtId="0" fontId="26" fillId="0" borderId="1" xfId="3" applyFont="1" applyFill="1" applyBorder="1" applyAlignment="1">
      <alignment horizontal="center"/>
    </xf>
    <xf numFmtId="0" fontId="37" fillId="0" borderId="16" xfId="0" applyFont="1" applyBorder="1" applyAlignment="1">
      <alignment horizontal="distributed" vertical="center" textRotation="255" wrapText="1"/>
    </xf>
    <xf numFmtId="0" fontId="23" fillId="0" borderId="0" xfId="3" applyFont="1" applyAlignment="1">
      <alignment horizontal="left"/>
    </xf>
    <xf numFmtId="0" fontId="23" fillId="0" borderId="0" xfId="3" applyFont="1" applyAlignment="1">
      <alignment horizontal="center"/>
    </xf>
    <xf numFmtId="0" fontId="16" fillId="0" borderId="0" xfId="3" applyFont="1" applyBorder="1" applyAlignment="1">
      <alignment horizontal="left"/>
    </xf>
    <xf numFmtId="0" fontId="29" fillId="0" borderId="1" xfId="3" applyFont="1" applyFill="1" applyBorder="1" applyAlignment="1">
      <alignment horizontal="center" vertical="center" wrapText="1"/>
    </xf>
    <xf numFmtId="0" fontId="27" fillId="2" borderId="1" xfId="3" applyFont="1" applyFill="1" applyBorder="1" applyAlignment="1">
      <alignment horizontal="center" vertical="center"/>
    </xf>
    <xf numFmtId="0" fontId="29" fillId="0" borderId="1" xfId="3" applyFont="1" applyFill="1" applyBorder="1" applyAlignment="1">
      <alignment horizontal="center" vertical="center"/>
    </xf>
    <xf numFmtId="0" fontId="38" fillId="0" borderId="1" xfId="3" applyFont="1" applyBorder="1" applyAlignment="1">
      <alignment vertical="center" wrapText="1"/>
    </xf>
    <xf numFmtId="0" fontId="29" fillId="0" borderId="1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0" fontId="28" fillId="0" borderId="1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7" fillId="0" borderId="2" xfId="3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29" fillId="5" borderId="1" xfId="3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28" fillId="2" borderId="1" xfId="3" applyFont="1" applyFill="1" applyBorder="1" applyAlignment="1">
      <alignment horizontal="center" textRotation="90" wrapText="1"/>
    </xf>
    <xf numFmtId="0" fontId="28" fillId="0" borderId="1" xfId="3" applyFont="1" applyFill="1" applyBorder="1" applyAlignment="1">
      <alignment horizontal="center" textRotation="90" wrapText="1"/>
    </xf>
    <xf numFmtId="0" fontId="28" fillId="0" borderId="1" xfId="3" applyFont="1" applyBorder="1" applyAlignment="1">
      <alignment horizontal="center" textRotation="90" wrapText="1"/>
    </xf>
    <xf numFmtId="0" fontId="7" fillId="0" borderId="1" xfId="0" applyFont="1" applyBorder="1" applyAlignment="1">
      <alignment horizontal="center" wrapText="1"/>
    </xf>
    <xf numFmtId="49" fontId="29" fillId="5" borderId="1" xfId="3" applyNumberFormat="1" applyFont="1" applyFill="1" applyBorder="1" applyAlignment="1">
      <alignment horizontal="center"/>
    </xf>
    <xf numFmtId="0" fontId="28" fillId="0" borderId="0" xfId="3" applyFont="1" applyFill="1" applyBorder="1" applyAlignment="1">
      <alignment horizontal="center" textRotation="90" wrapText="1"/>
    </xf>
    <xf numFmtId="49" fontId="29" fillId="5" borderId="1" xfId="3" applyNumberFormat="1" applyFont="1" applyFill="1" applyBorder="1" applyAlignment="1">
      <alignment horizontal="right"/>
    </xf>
    <xf numFmtId="1" fontId="29" fillId="5" borderId="1" xfId="3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textRotation="90" wrapText="1"/>
    </xf>
    <xf numFmtId="1" fontId="7" fillId="0" borderId="1" xfId="0" applyNumberFormat="1" applyFont="1" applyBorder="1" applyAlignment="1">
      <alignment horizontal="center" wrapText="1"/>
    </xf>
    <xf numFmtId="0" fontId="29" fillId="5" borderId="1" xfId="3" applyNumberFormat="1" applyFont="1" applyFill="1" applyBorder="1" applyAlignment="1">
      <alignment horizontal="center"/>
    </xf>
    <xf numFmtId="0" fontId="26" fillId="4" borderId="1" xfId="3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1" fontId="7" fillId="5" borderId="1" xfId="0" applyNumberFormat="1" applyFont="1" applyFill="1" applyBorder="1" applyAlignment="1">
      <alignment wrapText="1"/>
    </xf>
    <xf numFmtId="1" fontId="7" fillId="0" borderId="1" xfId="0" applyNumberFormat="1" applyFont="1" applyBorder="1" applyAlignment="1">
      <alignment horizontal="center" vertical="center" wrapText="1"/>
    </xf>
    <xf numFmtId="1" fontId="27" fillId="0" borderId="1" xfId="3" applyNumberFormat="1" applyFont="1" applyFill="1" applyBorder="1" applyAlignment="1">
      <alignment horizontal="right" vertical="center"/>
    </xf>
    <xf numFmtId="1" fontId="29" fillId="0" borderId="1" xfId="3" applyNumberFormat="1" applyFont="1" applyFill="1" applyBorder="1" applyAlignment="1">
      <alignment horizontal="right" vertical="center"/>
    </xf>
    <xf numFmtId="0" fontId="27" fillId="0" borderId="1" xfId="3" applyFont="1" applyFill="1" applyBorder="1" applyAlignment="1">
      <alignment horizontal="center" wrapText="1"/>
    </xf>
    <xf numFmtId="0" fontId="27" fillId="0" borderId="1" xfId="3" applyFont="1" applyFill="1" applyBorder="1" applyAlignment="1">
      <alignment horizontal="center"/>
    </xf>
    <xf numFmtId="1" fontId="27" fillId="0" borderId="1" xfId="3" applyNumberFormat="1" applyFont="1" applyFill="1" applyBorder="1" applyAlignment="1">
      <alignment horizontal="center" wrapText="1"/>
    </xf>
    <xf numFmtId="1" fontId="27" fillId="0" borderId="1" xfId="3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26" fillId="0" borderId="1" xfId="3" applyFont="1" applyFill="1" applyBorder="1" applyAlignment="1">
      <alignment horizontal="center" vertical="center" wrapText="1"/>
    </xf>
    <xf numFmtId="0" fontId="26" fillId="0" borderId="1" xfId="3" applyFont="1" applyFill="1" applyBorder="1" applyAlignment="1">
      <alignment horizontal="center"/>
    </xf>
    <xf numFmtId="0" fontId="26" fillId="0" borderId="2" xfId="3" applyFont="1" applyFill="1" applyBorder="1" applyAlignment="1">
      <alignment horizontal="center" vertical="center"/>
    </xf>
    <xf numFmtId="0" fontId="26" fillId="0" borderId="3" xfId="3" applyFont="1" applyFill="1" applyBorder="1" applyAlignment="1">
      <alignment horizontal="center" textRotation="90" wrapText="1"/>
    </xf>
    <xf numFmtId="0" fontId="26" fillId="0" borderId="3" xfId="3" applyFont="1" applyFill="1" applyBorder="1" applyAlignment="1">
      <alignment horizontal="center" vertical="center" textRotation="90" readingOrder="1"/>
    </xf>
    <xf numFmtId="0" fontId="40" fillId="0" borderId="14" xfId="3" applyFont="1" applyFill="1" applyBorder="1" applyAlignment="1">
      <alignment horizontal="center" textRotation="90" wrapText="1"/>
    </xf>
    <xf numFmtId="0" fontId="28" fillId="2" borderId="1" xfId="3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/>
    </xf>
    <xf numFmtId="0" fontId="27" fillId="0" borderId="1" xfId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35" fillId="0" borderId="1" xfId="1" applyFont="1" applyFill="1" applyBorder="1" applyAlignment="1">
      <alignment horizontal="center" vertical="center"/>
    </xf>
    <xf numFmtId="0" fontId="31" fillId="0" borderId="1" xfId="5" applyFont="1" applyFill="1" applyBorder="1" applyAlignment="1">
      <alignment horizontal="center" vertical="center"/>
    </xf>
    <xf numFmtId="0" fontId="29" fillId="4" borderId="1" xfId="3" applyFont="1" applyFill="1" applyBorder="1" applyAlignment="1">
      <alignment horizontal="center"/>
    </xf>
    <xf numFmtId="0" fontId="26" fillId="5" borderId="1" xfId="3" applyFont="1" applyFill="1" applyBorder="1" applyAlignment="1">
      <alignment horizontal="center" vertical="center"/>
    </xf>
    <xf numFmtId="0" fontId="29" fillId="5" borderId="8" xfId="3" applyFont="1" applyFill="1" applyBorder="1" applyAlignment="1">
      <alignment horizontal="center" vertical="center"/>
    </xf>
    <xf numFmtId="0" fontId="26" fillId="5" borderId="1" xfId="3" applyFont="1" applyFill="1" applyBorder="1" applyAlignment="1">
      <alignment horizontal="center" vertical="center" wrapText="1"/>
    </xf>
    <xf numFmtId="0" fontId="28" fillId="0" borderId="2" xfId="3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8" fillId="0" borderId="1" xfId="3" applyFont="1" applyBorder="1" applyAlignment="1">
      <alignment horizontal="center" vertical="center" wrapText="1"/>
    </xf>
    <xf numFmtId="0" fontId="28" fillId="0" borderId="2" xfId="3" applyFont="1" applyBorder="1" applyAlignment="1">
      <alignment horizontal="center" vertical="center" wrapText="1"/>
    </xf>
    <xf numFmtId="0" fontId="29" fillId="0" borderId="8" xfId="3" applyFont="1" applyBorder="1" applyAlignment="1">
      <alignment horizontal="center" vertical="center" wrapText="1"/>
    </xf>
    <xf numFmtId="0" fontId="28" fillId="0" borderId="8" xfId="3" applyFont="1" applyBorder="1" applyAlignment="1">
      <alignment horizontal="center" vertical="center" wrapText="1"/>
    </xf>
    <xf numFmtId="0" fontId="28" fillId="0" borderId="5" xfId="3" applyFont="1" applyBorder="1" applyAlignment="1">
      <alignment horizontal="center" vertical="center" wrapText="1"/>
    </xf>
    <xf numFmtId="0" fontId="28" fillId="0" borderId="5" xfId="3" applyFont="1" applyBorder="1" applyAlignment="1">
      <alignment horizontal="center" vertical="center"/>
    </xf>
    <xf numFmtId="0" fontId="28" fillId="0" borderId="8" xfId="3" applyFont="1" applyBorder="1" applyAlignment="1">
      <alignment horizontal="center" vertical="center"/>
    </xf>
    <xf numFmtId="0" fontId="28" fillId="0" borderId="8" xfId="3" applyFont="1" applyFill="1" applyBorder="1" applyAlignment="1">
      <alignment horizontal="center" vertical="center"/>
    </xf>
    <xf numFmtId="0" fontId="28" fillId="2" borderId="8" xfId="3" applyFont="1" applyFill="1" applyBorder="1" applyAlignment="1">
      <alignment horizontal="center" vertical="center"/>
    </xf>
    <xf numFmtId="0" fontId="29" fillId="0" borderId="8" xfId="3" applyFont="1" applyFill="1" applyBorder="1" applyAlignment="1">
      <alignment horizontal="center" vertical="center"/>
    </xf>
    <xf numFmtId="0" fontId="26" fillId="0" borderId="8" xfId="3" applyFont="1" applyFill="1" applyBorder="1" applyAlignment="1">
      <alignment horizontal="center" vertical="center"/>
    </xf>
    <xf numFmtId="0" fontId="26" fillId="0" borderId="5" xfId="3" applyFont="1" applyFill="1" applyBorder="1" applyAlignment="1">
      <alignment horizontal="center" vertical="center"/>
    </xf>
    <xf numFmtId="0" fontId="28" fillId="0" borderId="2" xfId="3" applyFont="1" applyFill="1" applyBorder="1" applyAlignment="1">
      <alignment horizontal="center" vertical="center"/>
    </xf>
    <xf numFmtId="0" fontId="27" fillId="0" borderId="8" xfId="3" applyFont="1" applyFill="1" applyBorder="1" applyAlignment="1">
      <alignment horizontal="center" vertical="center"/>
    </xf>
    <xf numFmtId="0" fontId="26" fillId="0" borderId="1" xfId="3" applyFont="1" applyFill="1" applyBorder="1" applyAlignment="1">
      <alignment horizontal="center" vertical="center"/>
    </xf>
    <xf numFmtId="0" fontId="28" fillId="4" borderId="2" xfId="3" applyFont="1" applyFill="1" applyBorder="1" applyAlignment="1">
      <alignment horizontal="center" vertical="center"/>
    </xf>
    <xf numFmtId="0" fontId="26" fillId="4" borderId="1" xfId="3" applyFont="1" applyFill="1" applyBorder="1" applyAlignment="1">
      <alignment horizontal="center" vertical="center" wrapText="1"/>
    </xf>
    <xf numFmtId="0" fontId="29" fillId="4" borderId="1" xfId="3" applyFont="1" applyFill="1" applyBorder="1" applyAlignment="1">
      <alignment horizontal="center" vertical="center" wrapText="1"/>
    </xf>
    <xf numFmtId="0" fontId="29" fillId="0" borderId="1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6" fillId="4" borderId="2" xfId="3" applyFont="1" applyFill="1" applyBorder="1" applyAlignment="1">
      <alignment horizontal="center" vertical="center"/>
    </xf>
    <xf numFmtId="0" fontId="27" fillId="0" borderId="2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2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8" fillId="6" borderId="2" xfId="3" applyFont="1" applyFill="1" applyBorder="1" applyAlignment="1">
      <alignment horizontal="center" vertical="center"/>
    </xf>
    <xf numFmtId="0" fontId="29" fillId="5" borderId="2" xfId="3" applyFont="1" applyFill="1" applyBorder="1" applyAlignment="1">
      <alignment horizontal="center"/>
    </xf>
    <xf numFmtId="0" fontId="34" fillId="5" borderId="2" xfId="3" applyFont="1" applyFill="1" applyBorder="1" applyAlignment="1">
      <alignment horizontal="center"/>
    </xf>
    <xf numFmtId="0" fontId="28" fillId="0" borderId="2" xfId="3" applyFont="1" applyFill="1" applyBorder="1" applyAlignment="1">
      <alignment horizontal="center" vertical="center" wrapText="1"/>
    </xf>
    <xf numFmtId="0" fontId="29" fillId="4" borderId="2" xfId="3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 wrapText="1"/>
    </xf>
    <xf numFmtId="0" fontId="28" fillId="2" borderId="1" xfId="3" applyFont="1" applyFill="1" applyBorder="1" applyAlignment="1">
      <alignment horizontal="center" vertical="center" wrapText="1"/>
    </xf>
    <xf numFmtId="0" fontId="28" fillId="0" borderId="2" xfId="3" applyFont="1" applyFill="1" applyBorder="1" applyAlignment="1">
      <alignment horizontal="center"/>
    </xf>
    <xf numFmtId="0" fontId="29" fillId="5" borderId="1" xfId="3" applyFont="1" applyFill="1" applyBorder="1" applyAlignment="1">
      <alignment horizontal="center" vertical="top" wrapText="1"/>
    </xf>
    <xf numFmtId="0" fontId="34" fillId="5" borderId="1" xfId="3" applyFont="1" applyFill="1" applyBorder="1" applyAlignment="1">
      <alignment horizontal="center" vertical="top" wrapText="1"/>
    </xf>
    <xf numFmtId="0" fontId="29" fillId="4" borderId="2" xfId="3" applyFont="1" applyFill="1" applyBorder="1" applyAlignment="1">
      <alignment horizontal="center" vertical="top" wrapText="1"/>
    </xf>
    <xf numFmtId="0" fontId="29" fillId="4" borderId="1" xfId="3" applyFont="1" applyFill="1" applyBorder="1" applyAlignment="1">
      <alignment horizontal="center" vertical="top" wrapText="1"/>
    </xf>
    <xf numFmtId="0" fontId="27" fillId="0" borderId="2" xfId="3" applyFont="1" applyFill="1" applyBorder="1" applyAlignment="1">
      <alignment horizontal="center" vertical="top" wrapText="1"/>
    </xf>
    <xf numFmtId="0" fontId="27" fillId="0" borderId="1" xfId="3" applyFont="1" applyFill="1" applyBorder="1" applyAlignment="1">
      <alignment horizontal="center" vertical="top" wrapText="1"/>
    </xf>
    <xf numFmtId="0" fontId="29" fillId="0" borderId="1" xfId="3" applyFont="1" applyFill="1" applyBorder="1" applyAlignment="1">
      <alignment horizontal="center" vertical="top" wrapText="1"/>
    </xf>
    <xf numFmtId="0" fontId="27" fillId="2" borderId="10" xfId="3" applyFont="1" applyFill="1" applyBorder="1" applyAlignment="1">
      <alignment horizontal="center" vertical="center"/>
    </xf>
    <xf numFmtId="0" fontId="29" fillId="2" borderId="10" xfId="3" applyFont="1" applyFill="1" applyBorder="1" applyAlignment="1">
      <alignment horizontal="center" vertical="center" wrapText="1"/>
    </xf>
    <xf numFmtId="0" fontId="27" fillId="2" borderId="15" xfId="3" applyFont="1" applyFill="1" applyBorder="1" applyAlignment="1">
      <alignment horizontal="center" vertical="center" wrapText="1"/>
    </xf>
    <xf numFmtId="0" fontId="27" fillId="0" borderId="10" xfId="3" applyFont="1" applyFill="1" applyBorder="1" applyAlignment="1">
      <alignment horizontal="center" vertical="center"/>
    </xf>
    <xf numFmtId="0" fontId="29" fillId="5" borderId="8" xfId="3" applyFont="1" applyFill="1" applyBorder="1" applyAlignment="1">
      <alignment horizontal="center" vertical="center" wrapText="1"/>
    </xf>
    <xf numFmtId="0" fontId="29" fillId="5" borderId="1" xfId="3" applyFont="1" applyFill="1" applyBorder="1" applyAlignment="1">
      <alignment horizontal="center" vertical="center" wrapText="1"/>
    </xf>
    <xf numFmtId="0" fontId="27" fillId="4" borderId="1" xfId="3" applyFont="1" applyFill="1" applyBorder="1" applyAlignment="1">
      <alignment horizontal="center" vertical="center"/>
    </xf>
    <xf numFmtId="0" fontId="29" fillId="7" borderId="1" xfId="3" applyFont="1" applyFill="1" applyBorder="1" applyAlignment="1">
      <alignment horizontal="center" vertical="center"/>
    </xf>
    <xf numFmtId="0" fontId="28" fillId="5" borderId="1" xfId="3" applyFont="1" applyFill="1" applyBorder="1" applyAlignment="1">
      <alignment horizontal="center" vertical="center"/>
    </xf>
    <xf numFmtId="0" fontId="26" fillId="5" borderId="10" xfId="3" applyFont="1" applyFill="1" applyBorder="1" applyAlignment="1">
      <alignment horizontal="center"/>
    </xf>
    <xf numFmtId="0" fontId="28" fillId="0" borderId="0" xfId="3" applyFont="1" applyFill="1" applyAlignment="1">
      <alignment horizontal="center"/>
    </xf>
    <xf numFmtId="0" fontId="29" fillId="0" borderId="0" xfId="3" applyFont="1" applyFill="1" applyAlignment="1">
      <alignment horizontal="center"/>
    </xf>
    <xf numFmtId="0" fontId="28" fillId="2" borderId="0" xfId="3" applyFont="1" applyFill="1" applyAlignment="1">
      <alignment horizontal="center"/>
    </xf>
    <xf numFmtId="0" fontId="32" fillId="6" borderId="8" xfId="3" applyFont="1" applyFill="1" applyBorder="1" applyAlignment="1">
      <alignment horizontal="right" vertical="center" wrapText="1"/>
    </xf>
    <xf numFmtId="0" fontId="26" fillId="6" borderId="2" xfId="3" applyFont="1" applyFill="1" applyBorder="1" applyAlignment="1">
      <alignment horizontal="center" vertical="center"/>
    </xf>
    <xf numFmtId="0" fontId="27" fillId="6" borderId="2" xfId="3" applyFont="1" applyFill="1" applyBorder="1" applyAlignment="1">
      <alignment horizontal="center" vertical="center"/>
    </xf>
    <xf numFmtId="0" fontId="29" fillId="6" borderId="2" xfId="3" applyFont="1" applyFill="1" applyBorder="1" applyAlignment="1">
      <alignment horizontal="center" vertical="center" wrapText="1"/>
    </xf>
    <xf numFmtId="0" fontId="28" fillId="6" borderId="2" xfId="3" applyFont="1" applyFill="1" applyBorder="1" applyAlignment="1">
      <alignment horizontal="center" vertical="center" wrapText="1"/>
    </xf>
    <xf numFmtId="0" fontId="41" fillId="0" borderId="1" xfId="3" applyNumberFormat="1" applyFont="1" applyFill="1" applyBorder="1" applyAlignment="1">
      <alignment horizontal="center"/>
    </xf>
    <xf numFmtId="49" fontId="41" fillId="0" borderId="1" xfId="3" applyNumberFormat="1" applyFont="1" applyFill="1" applyBorder="1" applyAlignment="1">
      <alignment horizontal="center" vertical="center"/>
    </xf>
    <xf numFmtId="49" fontId="41" fillId="0" borderId="1" xfId="0" applyNumberFormat="1" applyFont="1" applyFill="1" applyBorder="1" applyAlignment="1">
      <alignment horizontal="center" vertical="center"/>
    </xf>
    <xf numFmtId="49" fontId="42" fillId="0" borderId="1" xfId="3" applyNumberFormat="1" applyFont="1" applyFill="1" applyBorder="1" applyAlignment="1">
      <alignment horizontal="left" vertical="center"/>
    </xf>
    <xf numFmtId="0" fontId="41" fillId="4" borderId="1" xfId="3" applyNumberFormat="1" applyFont="1" applyFill="1" applyBorder="1"/>
    <xf numFmtId="49" fontId="41" fillId="5" borderId="1" xfId="3" applyNumberFormat="1" applyFont="1" applyFill="1" applyBorder="1" applyAlignment="1">
      <alignment vertical="center"/>
    </xf>
    <xf numFmtId="49" fontId="41" fillId="0" borderId="1" xfId="3" applyNumberFormat="1" applyFont="1" applyFill="1" applyBorder="1" applyAlignment="1">
      <alignment vertical="center"/>
    </xf>
    <xf numFmtId="0" fontId="41" fillId="5" borderId="1" xfId="3" applyFont="1" applyFill="1" applyBorder="1" applyAlignment="1">
      <alignment vertical="center" wrapText="1"/>
    </xf>
    <xf numFmtId="49" fontId="41" fillId="4" borderId="1" xfId="3" applyNumberFormat="1" applyFont="1" applyFill="1" applyBorder="1" applyAlignment="1">
      <alignment vertical="center"/>
    </xf>
    <xf numFmtId="49" fontId="41" fillId="4" borderId="3" xfId="3" applyNumberFormat="1" applyFont="1" applyFill="1" applyBorder="1" applyAlignment="1">
      <alignment vertical="center"/>
    </xf>
    <xf numFmtId="49" fontId="41" fillId="6" borderId="1" xfId="3" applyNumberFormat="1" applyFont="1" applyFill="1" applyBorder="1" applyAlignment="1">
      <alignment horizontal="right" vertical="center"/>
    </xf>
    <xf numFmtId="49" fontId="41" fillId="5" borderId="1" xfId="3" applyNumberFormat="1" applyFont="1" applyFill="1" applyBorder="1"/>
    <xf numFmtId="0" fontId="41" fillId="4" borderId="1" xfId="3" applyFont="1" applyFill="1" applyBorder="1" applyAlignment="1">
      <alignment horizontal="left" vertical="top" wrapText="1"/>
    </xf>
    <xf numFmtId="0" fontId="41" fillId="0" borderId="1" xfId="3" applyFont="1" applyFill="1" applyBorder="1" applyAlignment="1">
      <alignment horizontal="right" vertical="center" wrapText="1"/>
    </xf>
    <xf numFmtId="0" fontId="41" fillId="5" borderId="1" xfId="3" applyFont="1" applyFill="1" applyBorder="1" applyAlignment="1">
      <alignment horizontal="right" vertical="top" wrapText="1"/>
    </xf>
    <xf numFmtId="0" fontId="41" fillId="0" borderId="1" xfId="3" applyFont="1" applyFill="1" applyBorder="1" applyAlignment="1">
      <alignment vertical="center" wrapText="1"/>
    </xf>
    <xf numFmtId="0" fontId="42" fillId="7" borderId="1" xfId="3" applyFont="1" applyFill="1" applyBorder="1" applyAlignment="1">
      <alignment vertical="center"/>
    </xf>
    <xf numFmtId="0" fontId="41" fillId="5" borderId="1" xfId="3" applyFont="1" applyFill="1" applyBorder="1" applyAlignment="1">
      <alignment vertical="center"/>
    </xf>
    <xf numFmtId="0" fontId="41" fillId="0" borderId="1" xfId="3" applyFont="1" applyFill="1" applyBorder="1" applyAlignment="1">
      <alignment vertical="center"/>
    </xf>
    <xf numFmtId="0" fontId="42" fillId="5" borderId="10" xfId="3" applyFont="1" applyFill="1" applyBorder="1"/>
    <xf numFmtId="0" fontId="42" fillId="0" borderId="0" xfId="3" applyFont="1" applyFill="1"/>
    <xf numFmtId="0" fontId="39" fillId="0" borderId="1" xfId="3" applyFont="1" applyBorder="1" applyAlignment="1">
      <alignment vertical="distributed" wrapText="1"/>
    </xf>
    <xf numFmtId="0" fontId="25" fillId="0" borderId="0" xfId="3" applyFont="1" applyBorder="1" applyAlignment="1"/>
    <xf numFmtId="0" fontId="44" fillId="0" borderId="0" xfId="3" applyFont="1" applyBorder="1" applyAlignment="1">
      <alignment wrapText="1"/>
    </xf>
    <xf numFmtId="0" fontId="45" fillId="0" borderId="0" xfId="3" applyFont="1" applyBorder="1" applyAlignment="1">
      <alignment wrapText="1"/>
    </xf>
    <xf numFmtId="0" fontId="45" fillId="0" borderId="0" xfId="3" applyFont="1" applyBorder="1" applyAlignment="1">
      <alignment horizontal="left" wrapText="1"/>
    </xf>
    <xf numFmtId="0" fontId="45" fillId="0" borderId="0" xfId="3" applyFont="1" applyBorder="1" applyAlignment="1"/>
    <xf numFmtId="0" fontId="45" fillId="0" borderId="0" xfId="3" applyFont="1" applyAlignment="1"/>
    <xf numFmtId="0" fontId="46" fillId="0" borderId="0" xfId="3" applyFont="1" applyAlignment="1"/>
    <xf numFmtId="0" fontId="46" fillId="0" borderId="0" xfId="3" applyFont="1" applyAlignment="1">
      <alignment horizontal="left"/>
    </xf>
    <xf numFmtId="0" fontId="46" fillId="0" borderId="0" xfId="3" applyFont="1" applyAlignment="1">
      <alignment horizontal="center"/>
    </xf>
    <xf numFmtId="0" fontId="44" fillId="0" borderId="0" xfId="3" applyFont="1"/>
    <xf numFmtId="0" fontId="41" fillId="4" borderId="1" xfId="3" applyFont="1" applyFill="1" applyBorder="1" applyAlignment="1">
      <alignment horizontal="left" vertical="center" wrapText="1"/>
    </xf>
    <xf numFmtId="1" fontId="48" fillId="0" borderId="0" xfId="0" applyNumberFormat="1" applyFont="1" applyAlignment="1">
      <alignment horizontal="center" wrapText="1"/>
    </xf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wrapText="1"/>
    </xf>
    <xf numFmtId="0" fontId="48" fillId="0" borderId="6" xfId="0" applyFont="1" applyBorder="1" applyAlignment="1">
      <alignment horizontal="center" vertical="center" wrapText="1"/>
    </xf>
    <xf numFmtId="0" fontId="48" fillId="0" borderId="0" xfId="0" applyFont="1" applyBorder="1" applyAlignment="1">
      <alignment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right" wrapText="1"/>
    </xf>
    <xf numFmtId="0" fontId="49" fillId="0" borderId="1" xfId="0" applyFont="1" applyBorder="1" applyAlignment="1">
      <alignment horizontal="center" vertical="center" wrapText="1"/>
    </xf>
    <xf numFmtId="1" fontId="50" fillId="2" borderId="1" xfId="3" applyNumberFormat="1" applyFont="1" applyFill="1" applyBorder="1" applyAlignment="1">
      <alignment horizontal="center" textRotation="90" wrapText="1"/>
    </xf>
    <xf numFmtId="0" fontId="50" fillId="2" borderId="1" xfId="3" applyFont="1" applyFill="1" applyBorder="1" applyAlignment="1">
      <alignment horizontal="center" textRotation="90" wrapText="1"/>
    </xf>
    <xf numFmtId="0" fontId="50" fillId="2" borderId="1" xfId="3" applyFont="1" applyFill="1" applyBorder="1" applyAlignment="1">
      <alignment horizontal="center" vertical="center" textRotation="90" wrapText="1"/>
    </xf>
    <xf numFmtId="49" fontId="51" fillId="4" borderId="1" xfId="3" applyNumberFormat="1" applyFont="1" applyFill="1" applyBorder="1" applyAlignment="1">
      <alignment vertical="center"/>
    </xf>
    <xf numFmtId="0" fontId="51" fillId="4" borderId="8" xfId="3" applyFont="1" applyFill="1" applyBorder="1" applyAlignment="1">
      <alignment vertical="center" wrapText="1"/>
    </xf>
    <xf numFmtId="1" fontId="51" fillId="4" borderId="1" xfId="3" applyNumberFormat="1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wrapText="1"/>
    </xf>
    <xf numFmtId="1" fontId="49" fillId="4" borderId="1" xfId="0" applyNumberFormat="1" applyFont="1" applyFill="1" applyBorder="1" applyAlignment="1">
      <alignment wrapText="1"/>
    </xf>
    <xf numFmtId="49" fontId="51" fillId="0" borderId="1" xfId="3" applyNumberFormat="1" applyFont="1" applyFill="1" applyBorder="1" applyAlignment="1">
      <alignment vertical="center"/>
    </xf>
    <xf numFmtId="0" fontId="50" fillId="0" borderId="8" xfId="3" applyFont="1" applyBorder="1" applyAlignment="1">
      <alignment vertical="center" wrapText="1"/>
    </xf>
    <xf numFmtId="1" fontId="50" fillId="0" borderId="1" xfId="3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wrapText="1"/>
    </xf>
    <xf numFmtId="0" fontId="49" fillId="0" borderId="1" xfId="0" applyFont="1" applyBorder="1" applyAlignment="1">
      <alignment wrapText="1"/>
    </xf>
    <xf numFmtId="0" fontId="51" fillId="0" borderId="1" xfId="3" applyFont="1" applyBorder="1" applyAlignment="1">
      <alignment horizontal="right" vertical="center" wrapText="1"/>
    </xf>
    <xf numFmtId="1" fontId="49" fillId="0" borderId="1" xfId="0" applyNumberFormat="1" applyFont="1" applyBorder="1" applyAlignment="1">
      <alignment wrapText="1"/>
    </xf>
    <xf numFmtId="0" fontId="50" fillId="0" borderId="1" xfId="3" applyFont="1" applyBorder="1" applyAlignment="1">
      <alignment vertical="center" wrapText="1"/>
    </xf>
    <xf numFmtId="1" fontId="50" fillId="0" borderId="1" xfId="3" applyNumberFormat="1" applyFont="1" applyBorder="1" applyAlignment="1">
      <alignment horizontal="center" vertical="center"/>
    </xf>
    <xf numFmtId="0" fontId="51" fillId="0" borderId="1" xfId="3" applyFont="1" applyBorder="1" applyAlignment="1">
      <alignment vertical="center"/>
    </xf>
    <xf numFmtId="1" fontId="51" fillId="4" borderId="2" xfId="3" applyNumberFormat="1" applyFont="1" applyFill="1" applyBorder="1" applyAlignment="1">
      <alignment vertical="center"/>
    </xf>
    <xf numFmtId="0" fontId="51" fillId="4" borderId="1" xfId="3" applyFont="1" applyFill="1" applyBorder="1" applyAlignment="1">
      <alignment vertical="center"/>
    </xf>
    <xf numFmtId="1" fontId="51" fillId="0" borderId="1" xfId="3" applyNumberFormat="1" applyFont="1" applyFill="1" applyBorder="1" applyAlignment="1">
      <alignment vertical="center" wrapText="1"/>
    </xf>
    <xf numFmtId="1" fontId="51" fillId="0" borderId="1" xfId="3" applyNumberFormat="1" applyFont="1" applyFill="1" applyBorder="1" applyAlignment="1">
      <alignment vertical="center"/>
    </xf>
    <xf numFmtId="49" fontId="51" fillId="4" borderId="3" xfId="3" applyNumberFormat="1" applyFont="1" applyFill="1" applyBorder="1" applyAlignment="1">
      <alignment vertical="center"/>
    </xf>
    <xf numFmtId="0" fontId="51" fillId="4" borderId="1" xfId="3" applyFont="1" applyFill="1" applyBorder="1" applyAlignment="1">
      <alignment vertical="center" wrapText="1"/>
    </xf>
    <xf numFmtId="0" fontId="51" fillId="4" borderId="2" xfId="3" applyFont="1" applyFill="1" applyBorder="1" applyAlignment="1">
      <alignment vertical="center"/>
    </xf>
    <xf numFmtId="0" fontId="51" fillId="4" borderId="1" xfId="3" applyFont="1" applyFill="1" applyBorder="1" applyAlignment="1">
      <alignment horizontal="center" vertical="center"/>
    </xf>
    <xf numFmtId="1" fontId="49" fillId="0" borderId="1" xfId="0" applyNumberFormat="1" applyFont="1" applyBorder="1" applyAlignment="1">
      <alignment horizontal="center" wrapText="1"/>
    </xf>
    <xf numFmtId="0" fontId="50" fillId="0" borderId="1" xfId="3" applyFont="1" applyFill="1" applyBorder="1" applyAlignment="1">
      <alignment horizontal="center" vertical="center" wrapText="1"/>
    </xf>
    <xf numFmtId="1" fontId="49" fillId="0" borderId="8" xfId="0" applyNumberFormat="1" applyFont="1" applyBorder="1" applyAlignment="1">
      <alignment horizontal="center" wrapText="1"/>
    </xf>
    <xf numFmtId="0" fontId="49" fillId="0" borderId="8" xfId="0" applyFont="1" applyBorder="1" applyAlignment="1">
      <alignment horizontal="center" wrapText="1"/>
    </xf>
    <xf numFmtId="0" fontId="50" fillId="0" borderId="1" xfId="3" applyFont="1" applyBorder="1" applyAlignment="1">
      <alignment horizontal="center" vertical="center" wrapText="1"/>
    </xf>
    <xf numFmtId="1" fontId="51" fillId="4" borderId="1" xfId="3" applyNumberFormat="1" applyFont="1" applyFill="1" applyBorder="1" applyAlignment="1">
      <alignment vertical="center"/>
    </xf>
    <xf numFmtId="0" fontId="50" fillId="0" borderId="1" xfId="3" applyFont="1" applyBorder="1" applyAlignment="1">
      <alignment vertical="center"/>
    </xf>
    <xf numFmtId="0" fontId="51" fillId="0" borderId="1" xfId="3" applyFont="1" applyFill="1" applyBorder="1" applyAlignment="1">
      <alignment horizontal="right" vertical="center" wrapText="1"/>
    </xf>
    <xf numFmtId="0" fontId="49" fillId="0" borderId="10" xfId="0" applyFont="1" applyBorder="1" applyAlignment="1">
      <alignment wrapText="1"/>
    </xf>
    <xf numFmtId="0" fontId="51" fillId="0" borderId="10" xfId="3" applyFont="1" applyFill="1" applyBorder="1" applyAlignment="1">
      <alignment horizontal="right" vertical="center" wrapText="1"/>
    </xf>
    <xf numFmtId="0" fontId="50" fillId="0" borderId="1" xfId="3" applyFont="1" applyFill="1" applyBorder="1" applyAlignment="1">
      <alignment vertical="center"/>
    </xf>
    <xf numFmtId="0" fontId="50" fillId="0" borderId="1" xfId="3" applyFont="1" applyFill="1" applyBorder="1" applyAlignment="1">
      <alignment horizontal="right" vertical="center" wrapText="1"/>
    </xf>
    <xf numFmtId="0" fontId="51" fillId="4" borderId="1" xfId="3" applyFont="1" applyFill="1" applyBorder="1" applyAlignment="1">
      <alignment horizontal="left" vertical="top" wrapText="1"/>
    </xf>
    <xf numFmtId="1" fontId="51" fillId="4" borderId="1" xfId="3" applyNumberFormat="1" applyFont="1" applyFill="1" applyBorder="1" applyAlignment="1">
      <alignment horizontal="right" vertical="center" wrapText="1"/>
    </xf>
    <xf numFmtId="0" fontId="51" fillId="4" borderId="1" xfId="3" applyFont="1" applyFill="1" applyBorder="1" applyAlignment="1">
      <alignment horizontal="right" vertical="center" wrapText="1"/>
    </xf>
    <xf numFmtId="0" fontId="50" fillId="0" borderId="1" xfId="3" applyFont="1" applyBorder="1" applyAlignment="1">
      <alignment horizontal="right" vertical="center" wrapText="1"/>
    </xf>
    <xf numFmtId="0" fontId="50" fillId="2" borderId="1" xfId="3" applyFont="1" applyFill="1" applyBorder="1" applyAlignment="1">
      <alignment horizontal="right" vertical="center" wrapText="1"/>
    </xf>
    <xf numFmtId="0" fontId="50" fillId="0" borderId="1" xfId="3" applyFont="1" applyFill="1" applyBorder="1" applyAlignment="1">
      <alignment vertical="center" wrapText="1"/>
    </xf>
    <xf numFmtId="0" fontId="51" fillId="0" borderId="1" xfId="3" applyFont="1" applyFill="1" applyBorder="1" applyAlignment="1">
      <alignment horizontal="right" vertical="top" wrapText="1"/>
    </xf>
    <xf numFmtId="0" fontId="50" fillId="0" borderId="10" xfId="3" applyFont="1" applyFill="1" applyBorder="1" applyAlignment="1">
      <alignment vertical="center" wrapText="1"/>
    </xf>
    <xf numFmtId="0" fontId="50" fillId="0" borderId="10" xfId="3" applyFont="1" applyBorder="1" applyAlignment="1">
      <alignment horizontal="justify" vertical="center" wrapText="1"/>
    </xf>
    <xf numFmtId="0" fontId="51" fillId="0" borderId="1" xfId="3" applyFont="1" applyFill="1" applyBorder="1" applyAlignment="1">
      <alignment horizontal="center" vertical="center" wrapText="1"/>
    </xf>
    <xf numFmtId="0" fontId="50" fillId="0" borderId="1" xfId="3" applyFont="1" applyFill="1" applyBorder="1" applyAlignment="1">
      <alignment horizontal="justify" vertical="center" wrapText="1"/>
    </xf>
    <xf numFmtId="0" fontId="51" fillId="2" borderId="1" xfId="3" applyFont="1" applyFill="1" applyBorder="1" applyAlignment="1">
      <alignment horizontal="right" vertical="center" wrapText="1"/>
    </xf>
    <xf numFmtId="0" fontId="52" fillId="4" borderId="1" xfId="3" applyFont="1" applyFill="1" applyBorder="1" applyAlignment="1">
      <alignment horizontal="right" vertical="center" wrapText="1"/>
    </xf>
    <xf numFmtId="1" fontId="52" fillId="4" borderId="1" xfId="3" applyNumberFormat="1" applyFont="1" applyFill="1" applyBorder="1" applyAlignment="1">
      <alignment horizontal="right" vertical="center" wrapText="1"/>
    </xf>
    <xf numFmtId="1" fontId="53" fillId="4" borderId="1" xfId="0" applyNumberFormat="1" applyFont="1" applyFill="1" applyBorder="1" applyAlignment="1">
      <alignment wrapText="1"/>
    </xf>
    <xf numFmtId="0" fontId="53" fillId="0" borderId="0" xfId="0" applyFont="1" applyAlignment="1">
      <alignment wrapText="1"/>
    </xf>
    <xf numFmtId="0" fontId="48" fillId="4" borderId="0" xfId="0" applyFont="1" applyFill="1" applyAlignment="1">
      <alignment wrapText="1"/>
    </xf>
    <xf numFmtId="0" fontId="50" fillId="4" borderId="1" xfId="3" applyFont="1" applyFill="1" applyBorder="1" applyAlignment="1">
      <alignment horizontal="center" textRotation="90" wrapText="1"/>
    </xf>
    <xf numFmtId="0" fontId="48" fillId="5" borderId="0" xfId="0" applyFont="1" applyFill="1" applyAlignment="1">
      <alignment wrapText="1"/>
    </xf>
    <xf numFmtId="0" fontId="50" fillId="5" borderId="1" xfId="3" applyFont="1" applyFill="1" applyBorder="1" applyAlignment="1">
      <alignment horizontal="center" textRotation="90" wrapText="1"/>
    </xf>
    <xf numFmtId="0" fontId="49" fillId="5" borderId="1" xfId="0" applyFont="1" applyFill="1" applyBorder="1" applyAlignment="1">
      <alignment wrapText="1"/>
    </xf>
    <xf numFmtId="1" fontId="51" fillId="5" borderId="1" xfId="3" applyNumberFormat="1" applyFont="1" applyFill="1" applyBorder="1" applyAlignment="1">
      <alignment horizontal="center" vertical="center" wrapText="1"/>
    </xf>
    <xf numFmtId="0" fontId="51" fillId="5" borderId="1" xfId="3" applyFont="1" applyFill="1" applyBorder="1" applyAlignment="1">
      <alignment vertical="center"/>
    </xf>
    <xf numFmtId="0" fontId="51" fillId="5" borderId="1" xfId="3" applyFont="1" applyFill="1" applyBorder="1" applyAlignment="1">
      <alignment horizontal="right" vertical="center" wrapText="1"/>
    </xf>
    <xf numFmtId="1" fontId="52" fillId="5" borderId="1" xfId="3" applyNumberFormat="1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2" borderId="8" xfId="1" applyFont="1" applyFill="1" applyBorder="1" applyAlignment="1">
      <alignment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10" xfId="1" applyFont="1" applyFill="1" applyBorder="1" applyAlignment="1">
      <alignment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6" fillId="0" borderId="0" xfId="3" applyFont="1" applyBorder="1" applyAlignment="1">
      <alignment horizontal="left"/>
    </xf>
    <xf numFmtId="0" fontId="16" fillId="0" borderId="1" xfId="3" applyFont="1" applyBorder="1" applyAlignment="1">
      <alignment horizontal="center" vertical="center"/>
    </xf>
    <xf numFmtId="0" fontId="16" fillId="0" borderId="3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164" fontId="16" fillId="0" borderId="3" xfId="4" applyFont="1" applyBorder="1" applyAlignment="1">
      <alignment horizontal="center" vertical="center"/>
    </xf>
    <xf numFmtId="164" fontId="16" fillId="0" borderId="14" xfId="4" applyFont="1" applyBorder="1" applyAlignment="1">
      <alignment horizontal="center" vertical="center"/>
    </xf>
    <xf numFmtId="0" fontId="22" fillId="0" borderId="0" xfId="3" applyFont="1" applyBorder="1" applyAlignment="1">
      <alignment horizontal="center" wrapText="1"/>
    </xf>
    <xf numFmtId="0" fontId="23" fillId="0" borderId="0" xfId="3" applyFont="1" applyAlignment="1">
      <alignment horizontal="left"/>
    </xf>
    <xf numFmtId="0" fontId="23" fillId="0" borderId="0" xfId="3" applyFont="1" applyAlignment="1">
      <alignment horizontal="center"/>
    </xf>
    <xf numFmtId="164" fontId="16" fillId="0" borderId="1" xfId="4" applyFont="1" applyBorder="1" applyAlignment="1">
      <alignment horizontal="center" vertical="center"/>
    </xf>
    <xf numFmtId="0" fontId="46" fillId="0" borderId="0" xfId="3" applyFont="1" applyAlignment="1">
      <alignment horizontal="left"/>
    </xf>
    <xf numFmtId="0" fontId="33" fillId="0" borderId="0" xfId="3" applyFont="1" applyBorder="1" applyAlignment="1">
      <alignment horizontal="center" wrapText="1"/>
    </xf>
    <xf numFmtId="0" fontId="46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24" fillId="0" borderId="1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0" fontId="24" fillId="0" borderId="10" xfId="3" applyFont="1" applyBorder="1" applyAlignment="1">
      <alignment horizontal="center" vertical="center" wrapText="1"/>
    </xf>
    <xf numFmtId="0" fontId="24" fillId="0" borderId="1" xfId="3" applyFont="1" applyFill="1" applyBorder="1" applyAlignment="1">
      <alignment horizontal="center" vertical="center" wrapText="1"/>
    </xf>
    <xf numFmtId="0" fontId="26" fillId="0" borderId="13" xfId="3" applyFont="1" applyFill="1" applyBorder="1" applyAlignment="1">
      <alignment horizontal="center" vertical="center"/>
    </xf>
    <xf numFmtId="0" fontId="26" fillId="0" borderId="8" xfId="3" applyFont="1" applyFill="1" applyBorder="1" applyAlignment="1">
      <alignment horizontal="center" vertical="center" textRotation="90"/>
    </xf>
    <xf numFmtId="0" fontId="26" fillId="0" borderId="9" xfId="3" applyFont="1" applyFill="1" applyBorder="1" applyAlignment="1">
      <alignment horizontal="center" vertical="center" textRotation="90"/>
    </xf>
    <xf numFmtId="0" fontId="26" fillId="0" borderId="10" xfId="3" applyFont="1" applyFill="1" applyBorder="1" applyAlignment="1">
      <alignment horizontal="center" vertical="center" textRotation="90"/>
    </xf>
    <xf numFmtId="0" fontId="26" fillId="0" borderId="8" xfId="3" applyFont="1" applyFill="1" applyBorder="1" applyAlignment="1">
      <alignment horizontal="center" vertical="center" wrapText="1"/>
    </xf>
    <xf numFmtId="0" fontId="26" fillId="0" borderId="9" xfId="3" applyFont="1" applyFill="1" applyBorder="1" applyAlignment="1">
      <alignment horizontal="center" vertical="center"/>
    </xf>
    <xf numFmtId="0" fontId="26" fillId="0" borderId="10" xfId="3" applyFont="1" applyFill="1" applyBorder="1" applyAlignment="1">
      <alignment horizontal="center" vertical="center"/>
    </xf>
    <xf numFmtId="0" fontId="26" fillId="0" borderId="1" xfId="3" applyFont="1" applyFill="1" applyBorder="1" applyAlignment="1">
      <alignment horizontal="center" vertical="center" wrapText="1"/>
    </xf>
    <xf numFmtId="0" fontId="26" fillId="0" borderId="14" xfId="3" applyFont="1" applyFill="1" applyBorder="1" applyAlignment="1">
      <alignment horizontal="right" vertical="center"/>
    </xf>
    <xf numFmtId="0" fontId="26" fillId="0" borderId="2" xfId="3" applyFont="1" applyFill="1" applyBorder="1" applyAlignment="1">
      <alignment horizontal="right" vertical="center"/>
    </xf>
    <xf numFmtId="0" fontId="26" fillId="0" borderId="1" xfId="3" applyFont="1" applyFill="1" applyBorder="1" applyAlignment="1">
      <alignment horizontal="center" textRotation="90" wrapText="1"/>
    </xf>
    <xf numFmtId="0" fontId="26" fillId="0" borderId="3" xfId="3" applyFont="1" applyFill="1" applyBorder="1" applyAlignment="1">
      <alignment horizontal="left" vertical="center"/>
    </xf>
    <xf numFmtId="0" fontId="26" fillId="0" borderId="2" xfId="3" applyFont="1" applyFill="1" applyBorder="1" applyAlignment="1">
      <alignment horizontal="left" vertical="center"/>
    </xf>
    <xf numFmtId="0" fontId="26" fillId="0" borderId="3" xfId="3" applyFont="1" applyFill="1" applyBorder="1" applyAlignment="1">
      <alignment horizontal="center" vertical="center"/>
    </xf>
    <xf numFmtId="0" fontId="26" fillId="0" borderId="14" xfId="3" applyFont="1" applyFill="1" applyBorder="1" applyAlignment="1">
      <alignment horizontal="center" vertical="center"/>
    </xf>
    <xf numFmtId="0" fontId="26" fillId="0" borderId="2" xfId="3" applyFont="1" applyFill="1" applyBorder="1" applyAlignment="1">
      <alignment horizontal="center" vertical="center"/>
    </xf>
    <xf numFmtId="0" fontId="26" fillId="0" borderId="1" xfId="3" applyFont="1" applyFill="1" applyBorder="1" applyAlignment="1">
      <alignment horizontal="center" vertical="center" textRotation="90"/>
    </xf>
    <xf numFmtId="0" fontId="26" fillId="0" borderId="8" xfId="3" applyFont="1" applyFill="1" applyBorder="1" applyAlignment="1">
      <alignment horizontal="center" vertical="center" textRotation="90" wrapText="1"/>
    </xf>
    <xf numFmtId="0" fontId="26" fillId="0" borderId="9" xfId="3" applyFont="1" applyFill="1" applyBorder="1" applyAlignment="1">
      <alignment horizontal="center" vertical="center" textRotation="90" wrapText="1"/>
    </xf>
    <xf numFmtId="0" fontId="26" fillId="0" borderId="1" xfId="3" applyFont="1" applyFill="1" applyBorder="1" applyAlignment="1">
      <alignment horizontal="center"/>
    </xf>
    <xf numFmtId="0" fontId="26" fillId="0" borderId="3" xfId="3" applyFont="1" applyFill="1" applyBorder="1" applyAlignment="1">
      <alignment horizontal="center"/>
    </xf>
    <xf numFmtId="0" fontId="26" fillId="0" borderId="2" xfId="3" applyFont="1" applyFill="1" applyBorder="1" applyAlignment="1">
      <alignment horizontal="center"/>
    </xf>
    <xf numFmtId="0" fontId="29" fillId="0" borderId="3" xfId="3" applyFont="1" applyFill="1" applyBorder="1" applyAlignment="1">
      <alignment horizontal="center" vertical="center" wrapText="1"/>
    </xf>
    <xf numFmtId="0" fontId="29" fillId="0" borderId="14" xfId="3" applyFont="1" applyFill="1" applyBorder="1" applyAlignment="1">
      <alignment horizontal="center" vertical="center" wrapText="1"/>
    </xf>
    <xf numFmtId="0" fontId="29" fillId="0" borderId="2" xfId="3" applyFont="1" applyFill="1" applyBorder="1" applyAlignment="1">
      <alignment horizontal="center" vertical="center" wrapText="1"/>
    </xf>
    <xf numFmtId="0" fontId="26" fillId="0" borderId="3" xfId="3" applyFont="1" applyFill="1" applyBorder="1" applyAlignment="1">
      <alignment horizontal="center" vertical="center" wrapText="1"/>
    </xf>
    <xf numFmtId="0" fontId="26" fillId="0" borderId="14" xfId="3" applyFont="1" applyFill="1" applyBorder="1" applyAlignment="1">
      <alignment horizontal="center" vertical="center" wrapText="1"/>
    </xf>
    <xf numFmtId="0" fontId="26" fillId="0" borderId="2" xfId="3" applyFont="1" applyFill="1" applyBorder="1" applyAlignment="1">
      <alignment horizontal="center" vertical="center" wrapText="1"/>
    </xf>
    <xf numFmtId="0" fontId="29" fillId="0" borderId="8" xfId="3" applyFont="1" applyFill="1" applyBorder="1" applyAlignment="1">
      <alignment horizontal="center" vertical="center" textRotation="90"/>
    </xf>
    <xf numFmtId="0" fontId="29" fillId="0" borderId="10" xfId="3" applyFont="1" applyFill="1" applyBorder="1" applyAlignment="1">
      <alignment horizontal="center" vertical="center" textRotation="90"/>
    </xf>
    <xf numFmtId="0" fontId="26" fillId="0" borderId="14" xfId="3" applyFont="1" applyFill="1" applyBorder="1" applyAlignment="1">
      <alignment horizontal="center"/>
    </xf>
    <xf numFmtId="0" fontId="27" fillId="2" borderId="3" xfId="3" applyFont="1" applyFill="1" applyBorder="1" applyAlignment="1">
      <alignment horizontal="center" vertical="center" wrapText="1"/>
    </xf>
    <xf numFmtId="0" fontId="28" fillId="2" borderId="14" xfId="3" applyFont="1" applyFill="1" applyBorder="1" applyAlignment="1">
      <alignment horizontal="center" vertical="center" wrapText="1"/>
    </xf>
    <xf numFmtId="0" fontId="28" fillId="2" borderId="2" xfId="3" applyFont="1" applyFill="1" applyBorder="1" applyAlignment="1">
      <alignment horizontal="center" vertical="center" wrapText="1"/>
    </xf>
    <xf numFmtId="0" fontId="26" fillId="2" borderId="3" xfId="3" applyFont="1" applyFill="1" applyBorder="1" applyAlignment="1">
      <alignment horizontal="center" vertical="center" wrapText="1"/>
    </xf>
    <xf numFmtId="0" fontId="26" fillId="2" borderId="14" xfId="3" applyFont="1" applyFill="1" applyBorder="1" applyAlignment="1">
      <alignment horizontal="center" vertical="center" wrapText="1"/>
    </xf>
    <xf numFmtId="0" fontId="26" fillId="2" borderId="2" xfId="3" applyFont="1" applyFill="1" applyBorder="1" applyAlignment="1">
      <alignment horizontal="center" vertical="center" wrapText="1"/>
    </xf>
    <xf numFmtId="0" fontId="41" fillId="0" borderId="8" xfId="3" applyFont="1" applyFill="1" applyBorder="1" applyAlignment="1">
      <alignment horizontal="center" vertical="center" textRotation="90"/>
    </xf>
    <xf numFmtId="0" fontId="41" fillId="0" borderId="9" xfId="3" applyFont="1" applyFill="1" applyBorder="1" applyAlignment="1">
      <alignment horizontal="center" vertical="center" textRotation="90"/>
    </xf>
    <xf numFmtId="0" fontId="41" fillId="0" borderId="10" xfId="3" applyFont="1" applyFill="1" applyBorder="1" applyAlignment="1">
      <alignment horizontal="center" vertical="center" textRotation="90"/>
    </xf>
    <xf numFmtId="0" fontId="47" fillId="0" borderId="6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 wrapText="1"/>
    </xf>
  </cellXfs>
  <cellStyles count="6">
    <cellStyle name="Денежный 2" xfId="4" xr:uid="{00000000-0005-0000-0000-000000000000}"/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2 3" xfId="5" xr:uid="{00000000-0005-0000-0000-000004000000}"/>
    <cellStyle name="Обычный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"/>
  <sheetViews>
    <sheetView zoomScale="90" zoomScaleNormal="90" workbookViewId="0">
      <selection activeCell="C3" sqref="C3:D3"/>
    </sheetView>
  </sheetViews>
  <sheetFormatPr defaultColWidth="9.109375" defaultRowHeight="13.8" x14ac:dyDescent="0.25"/>
  <cols>
    <col min="1" max="1" width="4.44140625" style="23" customWidth="1"/>
    <col min="2" max="2" width="21.5546875" style="23" customWidth="1"/>
    <col min="3" max="3" width="102" style="1" customWidth="1"/>
    <col min="4" max="4" width="17.6640625" style="1" customWidth="1"/>
    <col min="5" max="7" width="9.109375" style="1"/>
    <col min="8" max="8" width="25" style="1" customWidth="1"/>
    <col min="9" max="16384" width="9.109375" style="1"/>
  </cols>
  <sheetData>
    <row r="1" spans="1:4" ht="21" customHeight="1" x14ac:dyDescent="0.25">
      <c r="A1" s="577" t="s">
        <v>276</v>
      </c>
      <c r="B1" s="577"/>
      <c r="C1" s="577"/>
      <c r="D1" s="577"/>
    </row>
    <row r="2" spans="1:4" ht="29.25" customHeight="1" x14ac:dyDescent="0.25">
      <c r="A2" s="578" t="s">
        <v>0</v>
      </c>
      <c r="B2" s="579"/>
      <c r="C2" s="586" t="s">
        <v>54</v>
      </c>
      <c r="D2" s="586"/>
    </row>
    <row r="3" spans="1:4" ht="15" customHeight="1" x14ac:dyDescent="0.25">
      <c r="A3" s="582" t="s">
        <v>406</v>
      </c>
      <c r="B3" s="583"/>
      <c r="C3" s="575" t="s">
        <v>55</v>
      </c>
      <c r="D3" s="576"/>
    </row>
    <row r="4" spans="1:4" ht="18.75" customHeight="1" x14ac:dyDescent="0.25">
      <c r="A4" s="584"/>
      <c r="B4" s="585"/>
      <c r="C4" s="58" t="s">
        <v>279</v>
      </c>
      <c r="D4" s="59"/>
    </row>
    <row r="5" spans="1:4" s="2" customFormat="1" ht="48.75" customHeight="1" x14ac:dyDescent="0.25">
      <c r="A5" s="580" t="s">
        <v>4</v>
      </c>
      <c r="B5" s="581"/>
      <c r="C5" s="589" t="s">
        <v>56</v>
      </c>
      <c r="D5" s="589"/>
    </row>
    <row r="6" spans="1:4" s="2" customFormat="1" ht="409.6" customHeight="1" x14ac:dyDescent="0.25">
      <c r="A6" s="578" t="s">
        <v>277</v>
      </c>
      <c r="B6" s="579"/>
      <c r="C6" s="590" t="s">
        <v>278</v>
      </c>
      <c r="D6" s="591"/>
    </row>
    <row r="7" spans="1:4" ht="91.5" customHeight="1" x14ac:dyDescent="0.25">
      <c r="A7" s="578" t="s">
        <v>5</v>
      </c>
      <c r="B7" s="579"/>
      <c r="C7" s="589" t="s">
        <v>374</v>
      </c>
      <c r="D7" s="589"/>
    </row>
    <row r="8" spans="1:4" ht="32.25" customHeight="1" x14ac:dyDescent="0.25">
      <c r="A8" s="578" t="s">
        <v>1</v>
      </c>
      <c r="B8" s="579"/>
      <c r="C8" s="589" t="s">
        <v>373</v>
      </c>
      <c r="D8" s="589"/>
    </row>
    <row r="9" spans="1:4" ht="32.25" customHeight="1" x14ac:dyDescent="0.25">
      <c r="A9" s="588" t="s">
        <v>2</v>
      </c>
      <c r="B9" s="588"/>
      <c r="C9" s="587" t="s">
        <v>10</v>
      </c>
      <c r="D9" s="587"/>
    </row>
  </sheetData>
  <mergeCells count="15">
    <mergeCell ref="C9:D9"/>
    <mergeCell ref="A9:B9"/>
    <mergeCell ref="C5:D5"/>
    <mergeCell ref="C7:D7"/>
    <mergeCell ref="C8:D8"/>
    <mergeCell ref="A6:B6"/>
    <mergeCell ref="C6:D6"/>
    <mergeCell ref="C3:D3"/>
    <mergeCell ref="A1:D1"/>
    <mergeCell ref="A8:B8"/>
    <mergeCell ref="A5:B5"/>
    <mergeCell ref="A7:B7"/>
    <mergeCell ref="A2:B2"/>
    <mergeCell ref="A3:B4"/>
    <mergeCell ref="C2:D2"/>
  </mergeCells>
  <pageMargins left="0.7" right="0.7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opLeftCell="A3" zoomScale="80" zoomScaleNormal="80" workbookViewId="0">
      <selection activeCell="B29" sqref="B29"/>
    </sheetView>
  </sheetViews>
  <sheetFormatPr defaultColWidth="9.109375" defaultRowHeight="15.6" x14ac:dyDescent="0.3"/>
  <cols>
    <col min="1" max="1" width="15.5546875" style="3" customWidth="1"/>
    <col min="2" max="2" width="107.44140625" style="3" customWidth="1"/>
    <col min="3" max="16384" width="9.109375" style="3"/>
  </cols>
  <sheetData>
    <row r="1" spans="1:2" x14ac:dyDescent="0.3">
      <c r="A1" s="592" t="s">
        <v>59</v>
      </c>
      <c r="B1" s="592"/>
    </row>
    <row r="2" spans="1:2" s="22" customFormat="1" ht="30.75" customHeight="1" x14ac:dyDescent="0.3">
      <c r="A2" s="31" t="s">
        <v>57</v>
      </c>
      <c r="B2" s="32" t="s">
        <v>58</v>
      </c>
    </row>
    <row r="3" spans="1:2" s="22" customFormat="1" ht="66" customHeight="1" x14ac:dyDescent="0.3">
      <c r="A3" s="26" t="s">
        <v>306</v>
      </c>
      <c r="B3" s="27" t="s">
        <v>307</v>
      </c>
    </row>
    <row r="4" spans="1:2" s="22" customFormat="1" ht="38.25" customHeight="1" x14ac:dyDescent="0.3">
      <c r="A4" s="28" t="s">
        <v>308</v>
      </c>
      <c r="B4" s="27" t="s">
        <v>309</v>
      </c>
    </row>
    <row r="5" spans="1:2" s="22" customFormat="1" ht="83.25" customHeight="1" x14ac:dyDescent="0.3">
      <c r="A5" s="26" t="s">
        <v>310</v>
      </c>
      <c r="B5" s="27" t="s">
        <v>311</v>
      </c>
    </row>
    <row r="6" spans="1:2" s="22" customFormat="1" ht="84.75" customHeight="1" x14ac:dyDescent="0.3">
      <c r="A6" s="28" t="s">
        <v>312</v>
      </c>
      <c r="B6" s="27" t="s">
        <v>313</v>
      </c>
    </row>
    <row r="7" spans="1:2" s="22" customFormat="1" ht="49.5" customHeight="1" x14ac:dyDescent="0.3">
      <c r="A7" s="26" t="s">
        <v>314</v>
      </c>
      <c r="B7" s="29" t="s">
        <v>315</v>
      </c>
    </row>
    <row r="8" spans="1:2" s="22" customFormat="1" ht="65.25" customHeight="1" x14ac:dyDescent="0.3">
      <c r="A8" s="28" t="s">
        <v>316</v>
      </c>
      <c r="B8" s="27" t="s">
        <v>317</v>
      </c>
    </row>
    <row r="9" spans="1:2" s="22" customFormat="1" ht="53.25" customHeight="1" x14ac:dyDescent="0.3">
      <c r="A9" s="26" t="s">
        <v>318</v>
      </c>
      <c r="B9" s="27" t="s">
        <v>319</v>
      </c>
    </row>
    <row r="10" spans="1:2" s="22" customFormat="1" ht="53.25" customHeight="1" x14ac:dyDescent="0.3">
      <c r="A10" s="28" t="s">
        <v>320</v>
      </c>
      <c r="B10" s="27" t="s">
        <v>321</v>
      </c>
    </row>
    <row r="11" spans="1:2" s="22" customFormat="1" ht="48.75" customHeight="1" x14ac:dyDescent="0.3">
      <c r="A11" s="26" t="s">
        <v>322</v>
      </c>
      <c r="B11" s="27" t="s">
        <v>323</v>
      </c>
    </row>
    <row r="12" spans="1:2" s="22" customFormat="1" ht="67.5" customHeight="1" x14ac:dyDescent="0.3">
      <c r="A12" s="28" t="s">
        <v>324</v>
      </c>
      <c r="B12" s="27" t="s">
        <v>325</v>
      </c>
    </row>
    <row r="13" spans="1:2" s="22" customFormat="1" ht="84.75" customHeight="1" x14ac:dyDescent="0.3">
      <c r="A13" s="26" t="s">
        <v>326</v>
      </c>
      <c r="B13" s="27" t="s">
        <v>327</v>
      </c>
    </row>
    <row r="14" spans="1:2" s="22" customFormat="1" ht="99.75" customHeight="1" x14ac:dyDescent="0.3">
      <c r="A14" s="28" t="s">
        <v>328</v>
      </c>
      <c r="B14" s="29" t="s">
        <v>329</v>
      </c>
    </row>
    <row r="15" spans="1:2" s="22" customFormat="1" ht="65.25" customHeight="1" x14ac:dyDescent="0.3">
      <c r="A15" s="26" t="s">
        <v>330</v>
      </c>
      <c r="B15" s="29" t="s">
        <v>331</v>
      </c>
    </row>
    <row r="16" spans="1:2" s="22" customFormat="1" ht="65.25" customHeight="1" x14ac:dyDescent="0.3">
      <c r="A16" s="28" t="s">
        <v>332</v>
      </c>
      <c r="B16" s="29" t="s">
        <v>333</v>
      </c>
    </row>
    <row r="17" spans="1:2" s="22" customFormat="1" ht="48.75" customHeight="1" x14ac:dyDescent="0.3">
      <c r="A17" s="26" t="s">
        <v>334</v>
      </c>
      <c r="B17" s="30" t="s">
        <v>222</v>
      </c>
    </row>
    <row r="18" spans="1:2" s="22" customFormat="1" ht="36" customHeight="1" x14ac:dyDescent="0.3">
      <c r="A18" s="28" t="s">
        <v>335</v>
      </c>
      <c r="B18" s="30" t="s">
        <v>336</v>
      </c>
    </row>
    <row r="19" spans="1:2" s="62" customFormat="1" ht="32.25" customHeight="1" x14ac:dyDescent="0.3">
      <c r="A19" s="57" t="s">
        <v>337</v>
      </c>
      <c r="B19" s="61" t="s">
        <v>338</v>
      </c>
    </row>
    <row r="20" spans="1:2" s="62" customFormat="1" ht="32.25" customHeight="1" x14ac:dyDescent="0.3">
      <c r="A20" s="57" t="s">
        <v>339</v>
      </c>
      <c r="B20" s="61" t="s">
        <v>340</v>
      </c>
    </row>
    <row r="21" spans="1:2" s="62" customFormat="1" ht="32.25" customHeight="1" x14ac:dyDescent="0.3">
      <c r="A21" s="57" t="s">
        <v>342</v>
      </c>
      <c r="B21" s="61" t="s">
        <v>341</v>
      </c>
    </row>
    <row r="22" spans="1:2" s="62" customFormat="1" ht="32.25" customHeight="1" x14ac:dyDescent="0.3">
      <c r="A22" s="57" t="s">
        <v>343</v>
      </c>
      <c r="B22" s="61" t="s">
        <v>344</v>
      </c>
    </row>
    <row r="23" spans="1:2" s="62" customFormat="1" ht="32.25" customHeight="1" x14ac:dyDescent="0.3">
      <c r="A23" s="57" t="s">
        <v>345</v>
      </c>
      <c r="B23" s="61" t="s">
        <v>346</v>
      </c>
    </row>
    <row r="24" spans="1:2" s="62" customFormat="1" ht="32.25" customHeight="1" x14ac:dyDescent="0.3">
      <c r="A24" s="57" t="s">
        <v>347</v>
      </c>
      <c r="B24" s="61" t="s">
        <v>348</v>
      </c>
    </row>
    <row r="25" spans="1:2" s="62" customFormat="1" ht="32.25" customHeight="1" x14ac:dyDescent="0.3">
      <c r="A25" s="57" t="s">
        <v>349</v>
      </c>
      <c r="B25" s="61" t="s">
        <v>357</v>
      </c>
    </row>
    <row r="26" spans="1:2" s="62" customFormat="1" ht="32.25" customHeight="1" x14ac:dyDescent="0.3">
      <c r="A26" s="57" t="s">
        <v>350</v>
      </c>
      <c r="B26" s="61" t="s">
        <v>358</v>
      </c>
    </row>
    <row r="27" spans="1:2" s="62" customFormat="1" ht="32.25" customHeight="1" x14ac:dyDescent="0.3">
      <c r="A27" s="57" t="s">
        <v>351</v>
      </c>
      <c r="B27" s="61" t="s">
        <v>359</v>
      </c>
    </row>
    <row r="28" spans="1:2" s="62" customFormat="1" ht="32.25" customHeight="1" x14ac:dyDescent="0.3">
      <c r="A28" s="57" t="s">
        <v>352</v>
      </c>
      <c r="B28" s="61" t="s">
        <v>360</v>
      </c>
    </row>
    <row r="29" spans="1:2" s="62" customFormat="1" ht="32.25" customHeight="1" x14ac:dyDescent="0.3">
      <c r="A29" s="57" t="s">
        <v>353</v>
      </c>
      <c r="B29" s="61" t="s">
        <v>361</v>
      </c>
    </row>
    <row r="30" spans="1:2" s="62" customFormat="1" ht="32.25" customHeight="1" x14ac:dyDescent="0.3">
      <c r="A30" s="57" t="s">
        <v>354</v>
      </c>
      <c r="B30" s="61" t="s">
        <v>375</v>
      </c>
    </row>
    <row r="31" spans="1:2" s="62" customFormat="1" ht="32.25" customHeight="1" x14ac:dyDescent="0.3">
      <c r="A31" s="57" t="s">
        <v>355</v>
      </c>
      <c r="B31" s="61" t="s">
        <v>363</v>
      </c>
    </row>
    <row r="32" spans="1:2" s="62" customFormat="1" ht="32.25" customHeight="1" x14ac:dyDescent="0.3">
      <c r="A32" s="57" t="s">
        <v>356</v>
      </c>
      <c r="B32" s="61" t="s">
        <v>362</v>
      </c>
    </row>
    <row r="33" spans="1:2" s="62" customFormat="1" ht="32.25" customHeight="1" x14ac:dyDescent="0.3">
      <c r="A33" s="57" t="s">
        <v>377</v>
      </c>
      <c r="B33" s="61" t="s">
        <v>376</v>
      </c>
    </row>
  </sheetData>
  <mergeCells count="1">
    <mergeCell ref="A1:B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9"/>
  <sheetViews>
    <sheetView topLeftCell="A162" zoomScale="70" zoomScaleNormal="70" workbookViewId="0">
      <selection activeCell="C164" sqref="C164:C169"/>
    </sheetView>
  </sheetViews>
  <sheetFormatPr defaultColWidth="9.109375" defaultRowHeight="13.2" x14ac:dyDescent="0.25"/>
  <cols>
    <col min="1" max="1" width="4.6640625" style="20" customWidth="1"/>
    <col min="2" max="2" width="18.6640625" style="8" customWidth="1"/>
    <col min="3" max="3" width="38" style="4" customWidth="1"/>
    <col min="4" max="4" width="53.33203125" style="4" customWidth="1"/>
    <col min="5" max="5" width="15.6640625" style="19" customWidth="1"/>
    <col min="6" max="16384" width="9.109375" style="4"/>
  </cols>
  <sheetData>
    <row r="1" spans="1:5" s="19" customFormat="1" ht="17.25" customHeight="1" x14ac:dyDescent="0.3">
      <c r="A1" s="599" t="s">
        <v>280</v>
      </c>
      <c r="B1" s="599"/>
      <c r="C1" s="599"/>
      <c r="D1" s="599"/>
      <c r="E1" s="599"/>
    </row>
    <row r="2" spans="1:5" s="19" customFormat="1" ht="17.25" customHeight="1" x14ac:dyDescent="0.3">
      <c r="A2" s="599" t="s">
        <v>60</v>
      </c>
      <c r="B2" s="599"/>
      <c r="C2" s="599"/>
      <c r="D2" s="599"/>
      <c r="E2" s="599"/>
    </row>
    <row r="3" spans="1:5" s="5" customFormat="1" ht="42" customHeight="1" x14ac:dyDescent="0.3">
      <c r="A3" s="31" t="s">
        <v>3</v>
      </c>
      <c r="B3" s="31" t="s">
        <v>61</v>
      </c>
      <c r="C3" s="31" t="s">
        <v>62</v>
      </c>
      <c r="D3" s="31" t="s">
        <v>63</v>
      </c>
      <c r="E3" s="31" t="s">
        <v>64</v>
      </c>
    </row>
    <row r="4" spans="1:5" s="6" customFormat="1" ht="15.6" x14ac:dyDescent="0.3">
      <c r="A4" s="624" t="s">
        <v>65</v>
      </c>
      <c r="B4" s="624"/>
      <c r="C4" s="624"/>
      <c r="D4" s="624"/>
      <c r="E4" s="624"/>
    </row>
    <row r="5" spans="1:5" s="6" customFormat="1" ht="87.75" customHeight="1" x14ac:dyDescent="0.25">
      <c r="A5" s="603">
        <v>1</v>
      </c>
      <c r="B5" s="593" t="s">
        <v>192</v>
      </c>
      <c r="C5" s="596" t="s">
        <v>193</v>
      </c>
      <c r="D5" s="61" t="s">
        <v>194</v>
      </c>
      <c r="E5" s="600" t="s">
        <v>306</v>
      </c>
    </row>
    <row r="6" spans="1:5" s="6" customFormat="1" ht="84" customHeight="1" x14ac:dyDescent="0.25">
      <c r="A6" s="604"/>
      <c r="B6" s="594"/>
      <c r="C6" s="597"/>
      <c r="D6" s="61" t="s">
        <v>195</v>
      </c>
      <c r="E6" s="601"/>
    </row>
    <row r="7" spans="1:5" s="6" customFormat="1" ht="72.75" customHeight="1" x14ac:dyDescent="0.25">
      <c r="A7" s="604"/>
      <c r="B7" s="594"/>
      <c r="C7" s="597"/>
      <c r="D7" s="61" t="s">
        <v>196</v>
      </c>
      <c r="E7" s="601"/>
    </row>
    <row r="8" spans="1:5" s="6" customFormat="1" ht="86.25" customHeight="1" x14ac:dyDescent="0.25">
      <c r="A8" s="604"/>
      <c r="B8" s="594"/>
      <c r="C8" s="597"/>
      <c r="D8" s="61" t="s">
        <v>197</v>
      </c>
      <c r="E8" s="601"/>
    </row>
    <row r="9" spans="1:5" s="6" customFormat="1" ht="86.25" customHeight="1" x14ac:dyDescent="0.25">
      <c r="A9" s="604"/>
      <c r="B9" s="594"/>
      <c r="C9" s="597"/>
      <c r="D9" s="61" t="s">
        <v>198</v>
      </c>
      <c r="E9" s="601"/>
    </row>
    <row r="10" spans="1:5" s="6" customFormat="1" ht="83.25" customHeight="1" x14ac:dyDescent="0.25">
      <c r="A10" s="604"/>
      <c r="B10" s="594"/>
      <c r="C10" s="597"/>
      <c r="D10" s="61" t="s">
        <v>199</v>
      </c>
      <c r="E10" s="601"/>
    </row>
    <row r="11" spans="1:5" s="6" customFormat="1" ht="54" customHeight="1" x14ac:dyDescent="0.25">
      <c r="A11" s="605"/>
      <c r="B11" s="595"/>
      <c r="C11" s="598"/>
      <c r="D11" s="61" t="s">
        <v>200</v>
      </c>
      <c r="E11" s="602"/>
    </row>
    <row r="12" spans="1:5" s="6" customFormat="1" ht="81.75" customHeight="1" x14ac:dyDescent="0.25">
      <c r="A12" s="603">
        <v>2</v>
      </c>
      <c r="B12" s="593" t="s">
        <v>201</v>
      </c>
      <c r="C12" s="596" t="s">
        <v>202</v>
      </c>
      <c r="D12" s="51" t="s">
        <v>203</v>
      </c>
      <c r="E12" s="600" t="s">
        <v>308</v>
      </c>
    </row>
    <row r="13" spans="1:5" s="6" customFormat="1" ht="36" customHeight="1" x14ac:dyDescent="0.25">
      <c r="A13" s="604"/>
      <c r="B13" s="594"/>
      <c r="C13" s="597"/>
      <c r="D13" s="51" t="s">
        <v>204</v>
      </c>
      <c r="E13" s="601"/>
    </row>
    <row r="14" spans="1:5" s="6" customFormat="1" ht="81.75" customHeight="1" x14ac:dyDescent="0.25">
      <c r="A14" s="604"/>
      <c r="B14" s="594"/>
      <c r="C14" s="597"/>
      <c r="D14" s="51" t="s">
        <v>205</v>
      </c>
      <c r="E14" s="601"/>
    </row>
    <row r="15" spans="1:5" s="6" customFormat="1" ht="51.75" customHeight="1" x14ac:dyDescent="0.25">
      <c r="A15" s="604"/>
      <c r="B15" s="594"/>
      <c r="C15" s="597"/>
      <c r="D15" s="51" t="s">
        <v>206</v>
      </c>
      <c r="E15" s="601"/>
    </row>
    <row r="16" spans="1:5" s="6" customFormat="1" ht="117" customHeight="1" x14ac:dyDescent="0.25">
      <c r="A16" s="604"/>
      <c r="B16" s="594"/>
      <c r="C16" s="597"/>
      <c r="D16" s="51" t="s">
        <v>207</v>
      </c>
      <c r="E16" s="601"/>
    </row>
    <row r="17" spans="1:5" s="6" customFormat="1" ht="73.5" customHeight="1" x14ac:dyDescent="0.25">
      <c r="A17" s="604"/>
      <c r="B17" s="594"/>
      <c r="C17" s="597"/>
      <c r="D17" s="51" t="s">
        <v>208</v>
      </c>
      <c r="E17" s="601"/>
    </row>
    <row r="18" spans="1:5" s="6" customFormat="1" ht="50.25" customHeight="1" x14ac:dyDescent="0.25">
      <c r="A18" s="604"/>
      <c r="B18" s="594"/>
      <c r="C18" s="597"/>
      <c r="D18" s="51" t="s">
        <v>209</v>
      </c>
      <c r="E18" s="601"/>
    </row>
    <row r="19" spans="1:5" s="6" customFormat="1" ht="68.25" customHeight="1" x14ac:dyDescent="0.25">
      <c r="A19" s="604"/>
      <c r="B19" s="594"/>
      <c r="C19" s="597"/>
      <c r="D19" s="51" t="s">
        <v>210</v>
      </c>
      <c r="E19" s="601"/>
    </row>
    <row r="20" spans="1:5" s="6" customFormat="1" ht="34.5" customHeight="1" x14ac:dyDescent="0.25">
      <c r="A20" s="604"/>
      <c r="B20" s="594"/>
      <c r="C20" s="597"/>
      <c r="D20" s="51" t="s">
        <v>211</v>
      </c>
      <c r="E20" s="601"/>
    </row>
    <row r="21" spans="1:5" s="6" customFormat="1" ht="36" customHeight="1" x14ac:dyDescent="0.25">
      <c r="A21" s="604"/>
      <c r="B21" s="594"/>
      <c r="C21" s="597"/>
      <c r="D21" s="51" t="s">
        <v>212</v>
      </c>
      <c r="E21" s="601"/>
    </row>
    <row r="22" spans="1:5" s="6" customFormat="1" ht="31.2" x14ac:dyDescent="0.25">
      <c r="A22" s="604"/>
      <c r="B22" s="594"/>
      <c r="C22" s="597"/>
      <c r="D22" s="51" t="s">
        <v>213</v>
      </c>
      <c r="E22" s="601"/>
    </row>
    <row r="23" spans="1:5" s="6" customFormat="1" ht="31.2" x14ac:dyDescent="0.25">
      <c r="A23" s="605"/>
      <c r="B23" s="595"/>
      <c r="C23" s="598"/>
      <c r="D23" s="51" t="s">
        <v>214</v>
      </c>
      <c r="E23" s="602"/>
    </row>
    <row r="24" spans="1:5" s="6" customFormat="1" ht="48" customHeight="1" x14ac:dyDescent="0.25">
      <c r="A24" s="603">
        <v>3</v>
      </c>
      <c r="B24" s="593" t="s">
        <v>131</v>
      </c>
      <c r="C24" s="596" t="s">
        <v>132</v>
      </c>
      <c r="D24" s="61" t="s">
        <v>138</v>
      </c>
      <c r="E24" s="600" t="s">
        <v>310</v>
      </c>
    </row>
    <row r="25" spans="1:5" s="6" customFormat="1" ht="46.8" x14ac:dyDescent="0.25">
      <c r="A25" s="604"/>
      <c r="B25" s="594"/>
      <c r="C25" s="597"/>
      <c r="D25" s="61" t="s">
        <v>139</v>
      </c>
      <c r="E25" s="601"/>
    </row>
    <row r="26" spans="1:5" s="6" customFormat="1" ht="39.75" customHeight="1" x14ac:dyDescent="0.25">
      <c r="A26" s="604"/>
      <c r="B26" s="594"/>
      <c r="C26" s="597"/>
      <c r="D26" s="61" t="s">
        <v>137</v>
      </c>
      <c r="E26" s="601"/>
    </row>
    <row r="27" spans="1:5" s="6" customFormat="1" ht="46.8" x14ac:dyDescent="0.25">
      <c r="A27" s="604"/>
      <c r="B27" s="594"/>
      <c r="C27" s="597"/>
      <c r="D27" s="61" t="s">
        <v>136</v>
      </c>
      <c r="E27" s="601"/>
    </row>
    <row r="28" spans="1:5" s="6" customFormat="1" ht="68.25" customHeight="1" x14ac:dyDescent="0.25">
      <c r="A28" s="604"/>
      <c r="B28" s="594"/>
      <c r="C28" s="597"/>
      <c r="D28" s="61" t="s">
        <v>135</v>
      </c>
      <c r="E28" s="601"/>
    </row>
    <row r="29" spans="1:5" s="6" customFormat="1" ht="50.25" customHeight="1" x14ac:dyDescent="0.25">
      <c r="A29" s="604"/>
      <c r="B29" s="594"/>
      <c r="C29" s="597"/>
      <c r="D29" s="61" t="s">
        <v>134</v>
      </c>
      <c r="E29" s="601"/>
    </row>
    <row r="30" spans="1:5" ht="33.75" customHeight="1" x14ac:dyDescent="0.25">
      <c r="A30" s="605"/>
      <c r="B30" s="595"/>
      <c r="C30" s="598"/>
      <c r="D30" s="51" t="s">
        <v>133</v>
      </c>
      <c r="E30" s="602"/>
    </row>
    <row r="31" spans="1:5" ht="121.5" customHeight="1" x14ac:dyDescent="0.25">
      <c r="A31" s="603">
        <v>4</v>
      </c>
      <c r="B31" s="618" t="s">
        <v>140</v>
      </c>
      <c r="C31" s="596" t="s">
        <v>141</v>
      </c>
      <c r="D31" s="51" t="s">
        <v>142</v>
      </c>
      <c r="E31" s="600" t="s">
        <v>312</v>
      </c>
    </row>
    <row r="32" spans="1:5" ht="36" customHeight="1" x14ac:dyDescent="0.25">
      <c r="A32" s="604"/>
      <c r="B32" s="619"/>
      <c r="C32" s="597"/>
      <c r="D32" s="51" t="s">
        <v>143</v>
      </c>
      <c r="E32" s="601"/>
    </row>
    <row r="33" spans="1:7" ht="57.75" customHeight="1" x14ac:dyDescent="0.25">
      <c r="A33" s="604"/>
      <c r="B33" s="619"/>
      <c r="C33" s="597"/>
      <c r="D33" s="51" t="s">
        <v>144</v>
      </c>
      <c r="E33" s="601"/>
    </row>
    <row r="34" spans="1:7" ht="51.75" customHeight="1" x14ac:dyDescent="0.25">
      <c r="A34" s="604"/>
      <c r="B34" s="619"/>
      <c r="C34" s="597"/>
      <c r="D34" s="51" t="s">
        <v>145</v>
      </c>
      <c r="E34" s="601"/>
    </row>
    <row r="35" spans="1:7" ht="42" customHeight="1" x14ac:dyDescent="0.25">
      <c r="A35" s="604"/>
      <c r="B35" s="619"/>
      <c r="C35" s="597"/>
      <c r="D35" s="51" t="s">
        <v>146</v>
      </c>
      <c r="E35" s="601"/>
    </row>
    <row r="36" spans="1:7" ht="37.5" customHeight="1" x14ac:dyDescent="0.25">
      <c r="A36" s="604"/>
      <c r="B36" s="619"/>
      <c r="C36" s="597"/>
      <c r="D36" s="51" t="s">
        <v>147</v>
      </c>
      <c r="E36" s="601"/>
    </row>
    <row r="37" spans="1:7" ht="105.75" customHeight="1" x14ac:dyDescent="0.25">
      <c r="A37" s="604"/>
      <c r="B37" s="619"/>
      <c r="C37" s="597"/>
      <c r="D37" s="51" t="s">
        <v>148</v>
      </c>
      <c r="E37" s="601"/>
    </row>
    <row r="38" spans="1:7" ht="72" customHeight="1" x14ac:dyDescent="0.25">
      <c r="A38" s="604"/>
      <c r="B38" s="619"/>
      <c r="C38" s="597"/>
      <c r="D38" s="51" t="s">
        <v>149</v>
      </c>
      <c r="E38" s="601"/>
    </row>
    <row r="39" spans="1:7" ht="89.25" customHeight="1" x14ac:dyDescent="0.25">
      <c r="A39" s="604"/>
      <c r="B39" s="619"/>
      <c r="C39" s="597"/>
      <c r="D39" s="51" t="s">
        <v>150</v>
      </c>
      <c r="E39" s="601"/>
    </row>
    <row r="40" spans="1:7" ht="55.5" customHeight="1" x14ac:dyDescent="0.25">
      <c r="A40" s="604"/>
      <c r="B40" s="619"/>
      <c r="C40" s="597"/>
      <c r="D40" s="51" t="s">
        <v>151</v>
      </c>
      <c r="E40" s="601"/>
    </row>
    <row r="41" spans="1:7" ht="87.75" customHeight="1" x14ac:dyDescent="0.25">
      <c r="A41" s="605"/>
      <c r="B41" s="620"/>
      <c r="C41" s="598"/>
      <c r="D41" s="51" t="s">
        <v>152</v>
      </c>
      <c r="E41" s="602"/>
    </row>
    <row r="42" spans="1:7" ht="157.5" customHeight="1" x14ac:dyDescent="0.25">
      <c r="A42" s="603">
        <v>5</v>
      </c>
      <c r="B42" s="593" t="s">
        <v>153</v>
      </c>
      <c r="C42" s="615" t="s">
        <v>154</v>
      </c>
      <c r="D42" s="51" t="s">
        <v>155</v>
      </c>
      <c r="E42" s="600" t="s">
        <v>314</v>
      </c>
      <c r="G42" s="6"/>
    </row>
    <row r="43" spans="1:7" ht="201" customHeight="1" x14ac:dyDescent="0.25">
      <c r="A43" s="604"/>
      <c r="B43" s="594"/>
      <c r="C43" s="616"/>
      <c r="D43" s="51" t="s">
        <v>156</v>
      </c>
      <c r="E43" s="601"/>
    </row>
    <row r="44" spans="1:7" ht="151.5" customHeight="1" x14ac:dyDescent="0.25">
      <c r="A44" s="604"/>
      <c r="B44" s="594"/>
      <c r="C44" s="616"/>
      <c r="D44" s="51" t="s">
        <v>157</v>
      </c>
      <c r="E44" s="601"/>
    </row>
    <row r="45" spans="1:7" ht="120" customHeight="1" x14ac:dyDescent="0.25">
      <c r="A45" s="604"/>
      <c r="B45" s="594"/>
      <c r="C45" s="616"/>
      <c r="D45" s="51" t="s">
        <v>158</v>
      </c>
      <c r="E45" s="601"/>
    </row>
    <row r="46" spans="1:7" ht="106.5" customHeight="1" x14ac:dyDescent="0.25">
      <c r="A46" s="604"/>
      <c r="B46" s="594"/>
      <c r="C46" s="616"/>
      <c r="D46" s="51" t="s">
        <v>159</v>
      </c>
      <c r="E46" s="601"/>
    </row>
    <row r="47" spans="1:7" ht="121.5" customHeight="1" x14ac:dyDescent="0.25">
      <c r="A47" s="604"/>
      <c r="B47" s="594"/>
      <c r="C47" s="616"/>
      <c r="D47" s="51" t="s">
        <v>160</v>
      </c>
      <c r="E47" s="601"/>
    </row>
    <row r="48" spans="1:7" ht="57.75" customHeight="1" x14ac:dyDescent="0.25">
      <c r="A48" s="604"/>
      <c r="B48" s="594"/>
      <c r="C48" s="616"/>
      <c r="D48" s="51" t="s">
        <v>161</v>
      </c>
      <c r="E48" s="601"/>
    </row>
    <row r="49" spans="1:9" ht="122.25" customHeight="1" x14ac:dyDescent="0.25">
      <c r="A49" s="604"/>
      <c r="B49" s="594"/>
      <c r="C49" s="616"/>
      <c r="D49" s="51" t="s">
        <v>162</v>
      </c>
      <c r="E49" s="601"/>
    </row>
    <row r="50" spans="1:9" ht="90.75" customHeight="1" x14ac:dyDescent="0.25">
      <c r="A50" s="604"/>
      <c r="B50" s="594"/>
      <c r="C50" s="616"/>
      <c r="D50" s="51" t="s">
        <v>163</v>
      </c>
      <c r="E50" s="601"/>
    </row>
    <row r="51" spans="1:9" ht="93" customHeight="1" x14ac:dyDescent="0.25">
      <c r="A51" s="605"/>
      <c r="B51" s="595"/>
      <c r="C51" s="617"/>
      <c r="D51" s="51" t="s">
        <v>164</v>
      </c>
      <c r="E51" s="602"/>
      <c r="I51" s="8"/>
    </row>
    <row r="52" spans="1:9" ht="84" customHeight="1" x14ac:dyDescent="0.25">
      <c r="A52" s="603">
        <v>6</v>
      </c>
      <c r="B52" s="593" t="s">
        <v>165</v>
      </c>
      <c r="C52" s="596" t="s">
        <v>166</v>
      </c>
      <c r="D52" s="51" t="s">
        <v>167</v>
      </c>
      <c r="E52" s="600" t="s">
        <v>316</v>
      </c>
    </row>
    <row r="53" spans="1:9" ht="50.25" customHeight="1" x14ac:dyDescent="0.25">
      <c r="A53" s="604"/>
      <c r="B53" s="594"/>
      <c r="C53" s="597"/>
      <c r="D53" s="51" t="s">
        <v>168</v>
      </c>
      <c r="E53" s="601"/>
    </row>
    <row r="54" spans="1:9" ht="88.5" customHeight="1" x14ac:dyDescent="0.25">
      <c r="A54" s="604"/>
      <c r="B54" s="594"/>
      <c r="C54" s="597"/>
      <c r="D54" s="51" t="s">
        <v>169</v>
      </c>
      <c r="E54" s="601"/>
    </row>
    <row r="55" spans="1:9" ht="123.75" customHeight="1" x14ac:dyDescent="0.25">
      <c r="A55" s="604"/>
      <c r="B55" s="594"/>
      <c r="C55" s="597"/>
      <c r="D55" s="51" t="s">
        <v>170</v>
      </c>
      <c r="E55" s="601"/>
    </row>
    <row r="56" spans="1:9" ht="99.75" customHeight="1" x14ac:dyDescent="0.25">
      <c r="A56" s="604"/>
      <c r="B56" s="594"/>
      <c r="C56" s="597"/>
      <c r="D56" s="51" t="s">
        <v>171</v>
      </c>
      <c r="E56" s="601"/>
    </row>
    <row r="57" spans="1:9" ht="120.75" customHeight="1" x14ac:dyDescent="0.25">
      <c r="A57" s="604"/>
      <c r="B57" s="594"/>
      <c r="C57" s="597"/>
      <c r="D57" s="51" t="s">
        <v>172</v>
      </c>
      <c r="E57" s="601"/>
    </row>
    <row r="58" spans="1:9" ht="107.25" customHeight="1" x14ac:dyDescent="0.25">
      <c r="A58" s="604"/>
      <c r="B58" s="594"/>
      <c r="C58" s="597"/>
      <c r="D58" s="51" t="s">
        <v>173</v>
      </c>
      <c r="E58" s="601"/>
    </row>
    <row r="59" spans="1:9" ht="74.25" customHeight="1" x14ac:dyDescent="0.25">
      <c r="A59" s="605"/>
      <c r="B59" s="595"/>
      <c r="C59" s="598"/>
      <c r="D59" s="51" t="s">
        <v>174</v>
      </c>
      <c r="E59" s="602"/>
    </row>
    <row r="60" spans="1:9" ht="90.75" customHeight="1" x14ac:dyDescent="0.25">
      <c r="A60" s="603">
        <v>7</v>
      </c>
      <c r="B60" s="593" t="s">
        <v>175</v>
      </c>
      <c r="C60" s="596" t="s">
        <v>176</v>
      </c>
      <c r="D60" s="51" t="s">
        <v>177</v>
      </c>
      <c r="E60" s="600" t="s">
        <v>318</v>
      </c>
    </row>
    <row r="61" spans="1:9" ht="108" customHeight="1" x14ac:dyDescent="0.25">
      <c r="A61" s="604"/>
      <c r="B61" s="594"/>
      <c r="C61" s="597"/>
      <c r="D61" s="51" t="s">
        <v>178</v>
      </c>
      <c r="E61" s="601"/>
    </row>
    <row r="62" spans="1:9" ht="61.5" customHeight="1" x14ac:dyDescent="0.25">
      <c r="A62" s="604"/>
      <c r="B62" s="594"/>
      <c r="C62" s="597"/>
      <c r="D62" s="51" t="s">
        <v>179</v>
      </c>
      <c r="E62" s="601"/>
    </row>
    <row r="63" spans="1:9" ht="123" customHeight="1" x14ac:dyDescent="0.25">
      <c r="A63" s="604"/>
      <c r="B63" s="594"/>
      <c r="C63" s="597"/>
      <c r="D63" s="51" t="s">
        <v>180</v>
      </c>
      <c r="E63" s="601"/>
    </row>
    <row r="64" spans="1:9" ht="35.25" customHeight="1" x14ac:dyDescent="0.25">
      <c r="A64" s="604"/>
      <c r="B64" s="594"/>
      <c r="C64" s="597"/>
      <c r="D64" s="51" t="s">
        <v>181</v>
      </c>
      <c r="E64" s="601"/>
    </row>
    <row r="65" spans="1:5" ht="52.5" customHeight="1" x14ac:dyDescent="0.25">
      <c r="A65" s="604"/>
      <c r="B65" s="594"/>
      <c r="C65" s="597"/>
      <c r="D65" s="51" t="s">
        <v>182</v>
      </c>
      <c r="E65" s="601"/>
    </row>
    <row r="66" spans="1:5" ht="57.75" customHeight="1" x14ac:dyDescent="0.25">
      <c r="A66" s="604"/>
      <c r="B66" s="594"/>
      <c r="C66" s="597"/>
      <c r="D66" s="51" t="s">
        <v>183</v>
      </c>
      <c r="E66" s="601"/>
    </row>
    <row r="67" spans="1:5" ht="68.25" customHeight="1" x14ac:dyDescent="0.25">
      <c r="A67" s="604"/>
      <c r="B67" s="594"/>
      <c r="C67" s="597"/>
      <c r="D67" s="51" t="s">
        <v>184</v>
      </c>
      <c r="E67" s="601"/>
    </row>
    <row r="68" spans="1:5" ht="67.5" customHeight="1" x14ac:dyDescent="0.25">
      <c r="A68" s="605"/>
      <c r="B68" s="595"/>
      <c r="C68" s="598"/>
      <c r="D68" s="51" t="s">
        <v>185</v>
      </c>
      <c r="E68" s="602"/>
    </row>
    <row r="69" spans="1:5" ht="110.25" customHeight="1" x14ac:dyDescent="0.25">
      <c r="A69" s="603">
        <v>8</v>
      </c>
      <c r="B69" s="593" t="s">
        <v>244</v>
      </c>
      <c r="C69" s="596" t="s">
        <v>245</v>
      </c>
      <c r="D69" s="51" t="s">
        <v>246</v>
      </c>
      <c r="E69" s="600" t="s">
        <v>320</v>
      </c>
    </row>
    <row r="70" spans="1:5" ht="54.75" customHeight="1" x14ac:dyDescent="0.25">
      <c r="A70" s="604"/>
      <c r="B70" s="594"/>
      <c r="C70" s="597"/>
      <c r="D70" s="51" t="s">
        <v>247</v>
      </c>
      <c r="E70" s="601"/>
    </row>
    <row r="71" spans="1:5" ht="60" customHeight="1" x14ac:dyDescent="0.25">
      <c r="A71" s="604"/>
      <c r="B71" s="594"/>
      <c r="C71" s="597"/>
      <c r="D71" s="51" t="s">
        <v>248</v>
      </c>
      <c r="E71" s="601"/>
    </row>
    <row r="72" spans="1:5" ht="40.5" customHeight="1" x14ac:dyDescent="0.25">
      <c r="A72" s="604"/>
      <c r="B72" s="594"/>
      <c r="C72" s="597"/>
      <c r="D72" s="51" t="s">
        <v>249</v>
      </c>
      <c r="E72" s="601"/>
    </row>
    <row r="73" spans="1:5" ht="58.5" customHeight="1" x14ac:dyDescent="0.25">
      <c r="A73" s="604"/>
      <c r="B73" s="594"/>
      <c r="C73" s="597"/>
      <c r="D73" s="51" t="s">
        <v>250</v>
      </c>
      <c r="E73" s="601"/>
    </row>
    <row r="74" spans="1:5" ht="42" customHeight="1" x14ac:dyDescent="0.25">
      <c r="A74" s="604"/>
      <c r="B74" s="594"/>
      <c r="C74" s="597"/>
      <c r="D74" s="51" t="s">
        <v>251</v>
      </c>
      <c r="E74" s="601"/>
    </row>
    <row r="75" spans="1:5" ht="90" customHeight="1" x14ac:dyDescent="0.25">
      <c r="A75" s="604"/>
      <c r="B75" s="594"/>
      <c r="C75" s="597"/>
      <c r="D75" s="51" t="s">
        <v>252</v>
      </c>
      <c r="E75" s="601"/>
    </row>
    <row r="76" spans="1:5" ht="78" customHeight="1" x14ac:dyDescent="0.25">
      <c r="A76" s="604"/>
      <c r="B76" s="594"/>
      <c r="C76" s="597"/>
      <c r="D76" s="51" t="s">
        <v>253</v>
      </c>
      <c r="E76" s="601"/>
    </row>
    <row r="77" spans="1:5" ht="72.75" customHeight="1" x14ac:dyDescent="0.25">
      <c r="A77" s="604"/>
      <c r="B77" s="594"/>
      <c r="C77" s="597"/>
      <c r="D77" s="51" t="s">
        <v>254</v>
      </c>
      <c r="E77" s="601"/>
    </row>
    <row r="78" spans="1:5" ht="73.5" customHeight="1" x14ac:dyDescent="0.25">
      <c r="A78" s="604"/>
      <c r="B78" s="595"/>
      <c r="C78" s="598"/>
      <c r="D78" s="51" t="s">
        <v>255</v>
      </c>
      <c r="E78" s="602"/>
    </row>
    <row r="79" spans="1:5" ht="57.75" customHeight="1" x14ac:dyDescent="0.25">
      <c r="A79" s="603">
        <v>9</v>
      </c>
      <c r="B79" s="593" t="s">
        <v>236</v>
      </c>
      <c r="C79" s="596" t="s">
        <v>237</v>
      </c>
      <c r="D79" s="51" t="s">
        <v>238</v>
      </c>
      <c r="E79" s="600" t="s">
        <v>322</v>
      </c>
    </row>
    <row r="80" spans="1:5" ht="55.5" customHeight="1" x14ac:dyDescent="0.25">
      <c r="A80" s="604"/>
      <c r="B80" s="594"/>
      <c r="C80" s="597"/>
      <c r="D80" s="51" t="s">
        <v>239</v>
      </c>
      <c r="E80" s="601"/>
    </row>
    <row r="81" spans="1:5" ht="70.5" customHeight="1" x14ac:dyDescent="0.25">
      <c r="A81" s="604"/>
      <c r="B81" s="594"/>
      <c r="C81" s="597"/>
      <c r="D81" s="51" t="s">
        <v>240</v>
      </c>
      <c r="E81" s="601"/>
    </row>
    <row r="82" spans="1:5" ht="51" customHeight="1" x14ac:dyDescent="0.25">
      <c r="A82" s="604"/>
      <c r="B82" s="594"/>
      <c r="C82" s="597"/>
      <c r="D82" s="51" t="s">
        <v>241</v>
      </c>
      <c r="E82" s="601"/>
    </row>
    <row r="83" spans="1:5" ht="42.75" customHeight="1" x14ac:dyDescent="0.25">
      <c r="A83" s="604"/>
      <c r="B83" s="594"/>
      <c r="C83" s="597"/>
      <c r="D83" s="51" t="s">
        <v>242</v>
      </c>
      <c r="E83" s="601"/>
    </row>
    <row r="84" spans="1:5" ht="58.5" customHeight="1" x14ac:dyDescent="0.25">
      <c r="A84" s="605"/>
      <c r="B84" s="595"/>
      <c r="C84" s="598"/>
      <c r="D84" s="51" t="s">
        <v>243</v>
      </c>
      <c r="E84" s="602"/>
    </row>
    <row r="85" spans="1:5" ht="51.75" customHeight="1" x14ac:dyDescent="0.25">
      <c r="A85" s="603">
        <v>10</v>
      </c>
      <c r="B85" s="612" t="s">
        <v>215</v>
      </c>
      <c r="C85" s="596" t="s">
        <v>216</v>
      </c>
      <c r="D85" s="51" t="s">
        <v>217</v>
      </c>
      <c r="E85" s="600" t="s">
        <v>324</v>
      </c>
    </row>
    <row r="86" spans="1:5" ht="57.75" customHeight="1" x14ac:dyDescent="0.25">
      <c r="A86" s="604"/>
      <c r="B86" s="613"/>
      <c r="C86" s="597"/>
      <c r="D86" s="51" t="s">
        <v>218</v>
      </c>
      <c r="E86" s="601"/>
    </row>
    <row r="87" spans="1:5" ht="110.25" customHeight="1" x14ac:dyDescent="0.25">
      <c r="A87" s="604"/>
      <c r="B87" s="613"/>
      <c r="C87" s="597"/>
      <c r="D87" s="51" t="s">
        <v>219</v>
      </c>
      <c r="E87" s="601"/>
    </row>
    <row r="88" spans="1:5" ht="120" customHeight="1" x14ac:dyDescent="0.25">
      <c r="A88" s="605"/>
      <c r="B88" s="614"/>
      <c r="C88" s="598"/>
      <c r="D88" s="51" t="s">
        <v>220</v>
      </c>
      <c r="E88" s="602"/>
    </row>
    <row r="89" spans="1:5" ht="65.25" customHeight="1" x14ac:dyDescent="0.25">
      <c r="A89" s="603">
        <v>11</v>
      </c>
      <c r="B89" s="612" t="s">
        <v>229</v>
      </c>
      <c r="C89" s="596" t="s">
        <v>230</v>
      </c>
      <c r="D89" s="51" t="s">
        <v>231</v>
      </c>
      <c r="E89" s="600" t="s">
        <v>326</v>
      </c>
    </row>
    <row r="90" spans="1:5" ht="89.25" customHeight="1" x14ac:dyDescent="0.25">
      <c r="A90" s="604"/>
      <c r="B90" s="613"/>
      <c r="C90" s="597"/>
      <c r="D90" s="51" t="s">
        <v>232</v>
      </c>
      <c r="E90" s="601"/>
    </row>
    <row r="91" spans="1:5" ht="74.25" customHeight="1" x14ac:dyDescent="0.25">
      <c r="A91" s="604"/>
      <c r="B91" s="613"/>
      <c r="C91" s="597"/>
      <c r="D91" s="51" t="s">
        <v>233</v>
      </c>
      <c r="E91" s="601"/>
    </row>
    <row r="92" spans="1:5" ht="124.5" customHeight="1" x14ac:dyDescent="0.25">
      <c r="A92" s="604"/>
      <c r="B92" s="613"/>
      <c r="C92" s="597"/>
      <c r="D92" s="51" t="s">
        <v>234</v>
      </c>
      <c r="E92" s="601"/>
    </row>
    <row r="93" spans="1:5" ht="52.5" customHeight="1" x14ac:dyDescent="0.25">
      <c r="A93" s="605"/>
      <c r="B93" s="614"/>
      <c r="C93" s="598"/>
      <c r="D93" s="51" t="s">
        <v>235</v>
      </c>
      <c r="E93" s="602"/>
    </row>
    <row r="94" spans="1:5" ht="72" customHeight="1" x14ac:dyDescent="0.25">
      <c r="A94" s="603">
        <v>12</v>
      </c>
      <c r="B94" s="612" t="s">
        <v>256</v>
      </c>
      <c r="C94" s="615" t="s">
        <v>257</v>
      </c>
      <c r="D94" s="51" t="s">
        <v>258</v>
      </c>
      <c r="E94" s="600" t="s">
        <v>328</v>
      </c>
    </row>
    <row r="95" spans="1:5" ht="71.25" customHeight="1" x14ac:dyDescent="0.25">
      <c r="A95" s="604"/>
      <c r="B95" s="613"/>
      <c r="C95" s="616"/>
      <c r="D95" s="51" t="s">
        <v>259</v>
      </c>
      <c r="E95" s="601"/>
    </row>
    <row r="96" spans="1:5" ht="42.75" customHeight="1" x14ac:dyDescent="0.25">
      <c r="A96" s="604"/>
      <c r="B96" s="613"/>
      <c r="C96" s="616"/>
      <c r="D96" s="51" t="s">
        <v>260</v>
      </c>
      <c r="E96" s="601"/>
    </row>
    <row r="97" spans="1:5" ht="119.25" customHeight="1" x14ac:dyDescent="0.25">
      <c r="A97" s="604"/>
      <c r="B97" s="613"/>
      <c r="C97" s="616"/>
      <c r="D97" s="51" t="s">
        <v>261</v>
      </c>
      <c r="E97" s="601"/>
    </row>
    <row r="98" spans="1:5" ht="53.25" customHeight="1" x14ac:dyDescent="0.25">
      <c r="A98" s="604"/>
      <c r="B98" s="613"/>
      <c r="C98" s="616"/>
      <c r="D98" s="51" t="s">
        <v>262</v>
      </c>
      <c r="E98" s="601"/>
    </row>
    <row r="99" spans="1:5" ht="74.25" customHeight="1" x14ac:dyDescent="0.25">
      <c r="A99" s="604"/>
      <c r="B99" s="613"/>
      <c r="C99" s="616"/>
      <c r="D99" s="51" t="s">
        <v>263</v>
      </c>
      <c r="E99" s="601"/>
    </row>
    <row r="100" spans="1:5" ht="68.25" customHeight="1" x14ac:dyDescent="0.25">
      <c r="A100" s="604"/>
      <c r="B100" s="613"/>
      <c r="C100" s="616"/>
      <c r="D100" s="51" t="s">
        <v>264</v>
      </c>
      <c r="E100" s="601"/>
    </row>
    <row r="101" spans="1:5" ht="72.75" customHeight="1" x14ac:dyDescent="0.25">
      <c r="A101" s="605"/>
      <c r="B101" s="614"/>
      <c r="C101" s="617"/>
      <c r="D101" s="51" t="s">
        <v>265</v>
      </c>
      <c r="E101" s="602"/>
    </row>
    <row r="102" spans="1:5" ht="55.5" customHeight="1" x14ac:dyDescent="0.25">
      <c r="A102" s="603">
        <v>13</v>
      </c>
      <c r="B102" s="612" t="s">
        <v>186</v>
      </c>
      <c r="C102" s="621" t="s">
        <v>187</v>
      </c>
      <c r="D102" s="51" t="s">
        <v>188</v>
      </c>
      <c r="E102" s="600" t="s">
        <v>330</v>
      </c>
    </row>
    <row r="103" spans="1:5" ht="92.25" customHeight="1" x14ac:dyDescent="0.25">
      <c r="A103" s="604"/>
      <c r="B103" s="613"/>
      <c r="C103" s="622"/>
      <c r="D103" s="51" t="s">
        <v>189</v>
      </c>
      <c r="E103" s="601"/>
    </row>
    <row r="104" spans="1:5" ht="108" customHeight="1" x14ac:dyDescent="0.25">
      <c r="A104" s="604"/>
      <c r="B104" s="613"/>
      <c r="C104" s="622"/>
      <c r="D104" s="51" t="s">
        <v>190</v>
      </c>
      <c r="E104" s="601"/>
    </row>
    <row r="105" spans="1:5" ht="56.25" customHeight="1" x14ac:dyDescent="0.25">
      <c r="A105" s="605"/>
      <c r="B105" s="614"/>
      <c r="C105" s="623"/>
      <c r="D105" s="51" t="s">
        <v>191</v>
      </c>
      <c r="E105" s="602"/>
    </row>
    <row r="106" spans="1:5" ht="53.25" customHeight="1" x14ac:dyDescent="0.25">
      <c r="A106" s="603">
        <v>14</v>
      </c>
      <c r="B106" s="618" t="s">
        <v>266</v>
      </c>
      <c r="C106" s="621" t="s">
        <v>267</v>
      </c>
      <c r="D106" s="51" t="s">
        <v>268</v>
      </c>
      <c r="E106" s="600" t="s">
        <v>332</v>
      </c>
    </row>
    <row r="107" spans="1:5" ht="54" customHeight="1" x14ac:dyDescent="0.25">
      <c r="A107" s="604"/>
      <c r="B107" s="619"/>
      <c r="C107" s="622"/>
      <c r="D107" s="51" t="s">
        <v>269</v>
      </c>
      <c r="E107" s="601"/>
    </row>
    <row r="108" spans="1:5" ht="57.75" customHeight="1" x14ac:dyDescent="0.25">
      <c r="A108" s="604"/>
      <c r="B108" s="619"/>
      <c r="C108" s="622"/>
      <c r="D108" s="51" t="s">
        <v>270</v>
      </c>
      <c r="E108" s="601"/>
    </row>
    <row r="109" spans="1:5" ht="55.5" customHeight="1" x14ac:dyDescent="0.25">
      <c r="A109" s="604"/>
      <c r="B109" s="619"/>
      <c r="C109" s="622"/>
      <c r="D109" s="51" t="s">
        <v>271</v>
      </c>
      <c r="E109" s="601"/>
    </row>
    <row r="110" spans="1:5" ht="74.25" customHeight="1" x14ac:dyDescent="0.25">
      <c r="A110" s="604"/>
      <c r="B110" s="619"/>
      <c r="C110" s="622"/>
      <c r="D110" s="51" t="s">
        <v>272</v>
      </c>
      <c r="E110" s="601"/>
    </row>
    <row r="111" spans="1:5" ht="43.5" customHeight="1" x14ac:dyDescent="0.25">
      <c r="A111" s="604"/>
      <c r="B111" s="619"/>
      <c r="C111" s="622"/>
      <c r="D111" s="51" t="s">
        <v>273</v>
      </c>
      <c r="E111" s="601"/>
    </row>
    <row r="112" spans="1:5" ht="51.75" customHeight="1" x14ac:dyDescent="0.25">
      <c r="A112" s="605"/>
      <c r="B112" s="620"/>
      <c r="C112" s="623"/>
      <c r="D112" s="51" t="s">
        <v>274</v>
      </c>
      <c r="E112" s="602"/>
    </row>
    <row r="113" spans="1:5" ht="100.5" customHeight="1" x14ac:dyDescent="0.25">
      <c r="A113" s="603">
        <v>15</v>
      </c>
      <c r="B113" s="606" t="s">
        <v>221</v>
      </c>
      <c r="C113" s="609" t="s">
        <v>222</v>
      </c>
      <c r="D113" s="51" t="s">
        <v>223</v>
      </c>
      <c r="E113" s="600" t="s">
        <v>334</v>
      </c>
    </row>
    <row r="114" spans="1:5" ht="90.75" customHeight="1" x14ac:dyDescent="0.25">
      <c r="A114" s="604"/>
      <c r="B114" s="607"/>
      <c r="C114" s="610"/>
      <c r="D114" s="51" t="s">
        <v>224</v>
      </c>
      <c r="E114" s="601"/>
    </row>
    <row r="115" spans="1:5" ht="93" customHeight="1" x14ac:dyDescent="0.25">
      <c r="A115" s="604"/>
      <c r="B115" s="607"/>
      <c r="C115" s="610"/>
      <c r="D115" s="51" t="s">
        <v>225</v>
      </c>
      <c r="E115" s="601"/>
    </row>
    <row r="116" spans="1:5" ht="91.5" customHeight="1" x14ac:dyDescent="0.25">
      <c r="A116" s="604"/>
      <c r="B116" s="607"/>
      <c r="C116" s="610"/>
      <c r="D116" s="51" t="s">
        <v>226</v>
      </c>
      <c r="E116" s="601"/>
    </row>
    <row r="117" spans="1:5" ht="72.75" customHeight="1" x14ac:dyDescent="0.25">
      <c r="A117" s="604"/>
      <c r="B117" s="607"/>
      <c r="C117" s="610"/>
      <c r="D117" s="51" t="s">
        <v>227</v>
      </c>
      <c r="E117" s="601"/>
    </row>
    <row r="118" spans="1:5" ht="89.25" customHeight="1" x14ac:dyDescent="0.25">
      <c r="A118" s="605"/>
      <c r="B118" s="608"/>
      <c r="C118" s="611"/>
      <c r="D118" s="51" t="s">
        <v>228</v>
      </c>
      <c r="E118" s="602"/>
    </row>
    <row r="119" spans="1:5" ht="60" customHeight="1" x14ac:dyDescent="0.25">
      <c r="A119" s="649">
        <v>16</v>
      </c>
      <c r="B119" s="606" t="s">
        <v>291</v>
      </c>
      <c r="C119" s="609" t="s">
        <v>290</v>
      </c>
      <c r="D119" s="51" t="s">
        <v>287</v>
      </c>
      <c r="E119" s="652" t="s">
        <v>335</v>
      </c>
    </row>
    <row r="120" spans="1:5" ht="57.75" customHeight="1" x14ac:dyDescent="0.25">
      <c r="A120" s="650"/>
      <c r="B120" s="607"/>
      <c r="C120" s="610"/>
      <c r="D120" s="51" t="s">
        <v>269</v>
      </c>
      <c r="E120" s="652"/>
    </row>
    <row r="121" spans="1:5" ht="56.25" customHeight="1" x14ac:dyDescent="0.25">
      <c r="A121" s="650"/>
      <c r="B121" s="607"/>
      <c r="C121" s="610"/>
      <c r="D121" s="51" t="s">
        <v>270</v>
      </c>
      <c r="E121" s="652"/>
    </row>
    <row r="122" spans="1:5" ht="54.75" customHeight="1" x14ac:dyDescent="0.25">
      <c r="A122" s="650"/>
      <c r="B122" s="607"/>
      <c r="C122" s="610"/>
      <c r="D122" s="51" t="s">
        <v>288</v>
      </c>
      <c r="E122" s="652"/>
    </row>
    <row r="123" spans="1:5" ht="72" customHeight="1" x14ac:dyDescent="0.25">
      <c r="A123" s="650"/>
      <c r="B123" s="607"/>
      <c r="C123" s="610"/>
      <c r="D123" s="51" t="s">
        <v>289</v>
      </c>
      <c r="E123" s="652"/>
    </row>
    <row r="124" spans="1:5" ht="44.25" customHeight="1" x14ac:dyDescent="0.25">
      <c r="A124" s="650"/>
      <c r="B124" s="607"/>
      <c r="C124" s="610"/>
      <c r="D124" s="51" t="s">
        <v>273</v>
      </c>
      <c r="E124" s="652"/>
    </row>
    <row r="125" spans="1:5" ht="56.25" customHeight="1" x14ac:dyDescent="0.25">
      <c r="A125" s="651"/>
      <c r="B125" s="608"/>
      <c r="C125" s="611"/>
      <c r="D125" s="51" t="s">
        <v>274</v>
      </c>
      <c r="E125" s="652"/>
    </row>
    <row r="126" spans="1:5" ht="15.6" x14ac:dyDescent="0.3">
      <c r="A126" s="624" t="s">
        <v>66</v>
      </c>
      <c r="B126" s="624"/>
      <c r="C126" s="624"/>
      <c r="D126" s="624"/>
      <c r="E126" s="624"/>
    </row>
    <row r="127" spans="1:5" ht="66.75" customHeight="1" x14ac:dyDescent="0.25">
      <c r="A127" s="629">
        <v>16</v>
      </c>
      <c r="B127" s="625" t="s">
        <v>13</v>
      </c>
      <c r="C127" s="586" t="s">
        <v>68</v>
      </c>
      <c r="D127" s="67" t="s">
        <v>407</v>
      </c>
      <c r="E127" s="627" t="s">
        <v>337</v>
      </c>
    </row>
    <row r="128" spans="1:5" ht="75" customHeight="1" x14ac:dyDescent="0.25">
      <c r="A128" s="629"/>
      <c r="B128" s="625"/>
      <c r="C128" s="626"/>
      <c r="D128" s="67" t="s">
        <v>69</v>
      </c>
      <c r="E128" s="628"/>
    </row>
    <row r="129" spans="1:5" ht="121.5" customHeight="1" x14ac:dyDescent="0.25">
      <c r="A129" s="629">
        <v>17</v>
      </c>
      <c r="B129" s="625" t="s">
        <v>6</v>
      </c>
      <c r="C129" s="586" t="s">
        <v>70</v>
      </c>
      <c r="D129" s="67" t="s">
        <v>71</v>
      </c>
      <c r="E129" s="627" t="s">
        <v>339</v>
      </c>
    </row>
    <row r="130" spans="1:5" ht="119.25" customHeight="1" x14ac:dyDescent="0.25">
      <c r="A130" s="629"/>
      <c r="B130" s="625"/>
      <c r="C130" s="626"/>
      <c r="D130" s="67" t="s">
        <v>72</v>
      </c>
      <c r="E130" s="628"/>
    </row>
    <row r="131" spans="1:5" ht="43.5" customHeight="1" x14ac:dyDescent="0.25">
      <c r="A131" s="629">
        <v>18</v>
      </c>
      <c r="B131" s="625" t="s">
        <v>73</v>
      </c>
      <c r="C131" s="586" t="s">
        <v>74</v>
      </c>
      <c r="D131" s="67" t="s">
        <v>75</v>
      </c>
      <c r="E131" s="627" t="s">
        <v>342</v>
      </c>
    </row>
    <row r="132" spans="1:5" ht="43.5" customHeight="1" x14ac:dyDescent="0.25">
      <c r="A132" s="629"/>
      <c r="B132" s="625"/>
      <c r="C132" s="626"/>
      <c r="D132" s="67" t="s">
        <v>800</v>
      </c>
      <c r="E132" s="628"/>
    </row>
    <row r="133" spans="1:5" ht="56.25" customHeight="1" x14ac:dyDescent="0.25">
      <c r="A133" s="629"/>
      <c r="B133" s="625"/>
      <c r="C133" s="626"/>
      <c r="D133" s="67" t="s">
        <v>76</v>
      </c>
      <c r="E133" s="628"/>
    </row>
    <row r="134" spans="1:5" ht="74.25" customHeight="1" x14ac:dyDescent="0.25">
      <c r="A134" s="629"/>
      <c r="B134" s="625"/>
      <c r="C134" s="626"/>
      <c r="D134" s="67" t="s">
        <v>77</v>
      </c>
      <c r="E134" s="628"/>
    </row>
    <row r="135" spans="1:5" ht="43.5" customHeight="1" x14ac:dyDescent="0.25">
      <c r="A135" s="629"/>
      <c r="B135" s="625"/>
      <c r="C135" s="626"/>
      <c r="D135" s="67" t="s">
        <v>78</v>
      </c>
      <c r="E135" s="628"/>
    </row>
    <row r="136" spans="1:5" ht="66.75" customHeight="1" x14ac:dyDescent="0.25">
      <c r="A136" s="629">
        <v>19</v>
      </c>
      <c r="B136" s="625" t="s">
        <v>7</v>
      </c>
      <c r="C136" s="586" t="s">
        <v>79</v>
      </c>
      <c r="D136" s="67" t="s">
        <v>408</v>
      </c>
      <c r="E136" s="627" t="s">
        <v>343</v>
      </c>
    </row>
    <row r="137" spans="1:5" ht="66.75" customHeight="1" x14ac:dyDescent="0.25">
      <c r="A137" s="629"/>
      <c r="B137" s="625"/>
      <c r="C137" s="626"/>
      <c r="D137" s="67" t="s">
        <v>80</v>
      </c>
      <c r="E137" s="628"/>
    </row>
    <row r="138" spans="1:5" ht="66.75" customHeight="1" x14ac:dyDescent="0.25">
      <c r="A138" s="629"/>
      <c r="B138" s="625"/>
      <c r="C138" s="626"/>
      <c r="D138" s="67" t="s">
        <v>81</v>
      </c>
      <c r="E138" s="628"/>
    </row>
    <row r="139" spans="1:5" ht="66.75" customHeight="1" x14ac:dyDescent="0.25">
      <c r="A139" s="629"/>
      <c r="B139" s="625"/>
      <c r="C139" s="626"/>
      <c r="D139" s="67" t="s">
        <v>82</v>
      </c>
      <c r="E139" s="628"/>
    </row>
    <row r="140" spans="1:5" ht="15.6" x14ac:dyDescent="0.3">
      <c r="A140" s="624" t="s">
        <v>67</v>
      </c>
      <c r="B140" s="624"/>
      <c r="C140" s="624"/>
      <c r="D140" s="624"/>
      <c r="E140" s="624"/>
    </row>
    <row r="141" spans="1:5" s="7" customFormat="1" ht="44.25" customHeight="1" x14ac:dyDescent="0.25">
      <c r="A141" s="631">
        <v>20</v>
      </c>
      <c r="B141" s="630" t="s">
        <v>14</v>
      </c>
      <c r="C141" s="632" t="s">
        <v>86</v>
      </c>
      <c r="D141" s="63" t="s">
        <v>15</v>
      </c>
      <c r="E141" s="633" t="s">
        <v>345</v>
      </c>
    </row>
    <row r="142" spans="1:5" s="7" customFormat="1" ht="44.25" customHeight="1" x14ac:dyDescent="0.25">
      <c r="A142" s="631"/>
      <c r="B142" s="630"/>
      <c r="C142" s="632"/>
      <c r="D142" s="63" t="s">
        <v>85</v>
      </c>
      <c r="E142" s="634"/>
    </row>
    <row r="143" spans="1:5" s="7" customFormat="1" ht="44.25" customHeight="1" x14ac:dyDescent="0.25">
      <c r="A143" s="631"/>
      <c r="B143" s="630"/>
      <c r="C143" s="632"/>
      <c r="D143" s="63" t="s">
        <v>16</v>
      </c>
      <c r="E143" s="635"/>
    </row>
    <row r="144" spans="1:5" s="7" customFormat="1" ht="37.5" customHeight="1" x14ac:dyDescent="0.25">
      <c r="A144" s="631">
        <v>21</v>
      </c>
      <c r="B144" s="630" t="s">
        <v>17</v>
      </c>
      <c r="C144" s="632" t="s">
        <v>87</v>
      </c>
      <c r="D144" s="63" t="s">
        <v>18</v>
      </c>
      <c r="E144" s="633" t="s">
        <v>347</v>
      </c>
    </row>
    <row r="145" spans="1:5" s="7" customFormat="1" ht="37.5" customHeight="1" x14ac:dyDescent="0.25">
      <c r="A145" s="631"/>
      <c r="B145" s="630"/>
      <c r="C145" s="632"/>
      <c r="D145" s="63" t="s">
        <v>19</v>
      </c>
      <c r="E145" s="634"/>
    </row>
    <row r="146" spans="1:5" s="7" customFormat="1" ht="51" customHeight="1" x14ac:dyDescent="0.25">
      <c r="A146" s="631"/>
      <c r="B146" s="630"/>
      <c r="C146" s="632"/>
      <c r="D146" s="63" t="s">
        <v>20</v>
      </c>
      <c r="E146" s="634"/>
    </row>
    <row r="147" spans="1:5" s="7" customFormat="1" ht="51" customHeight="1" x14ac:dyDescent="0.25">
      <c r="A147" s="631"/>
      <c r="B147" s="630"/>
      <c r="C147" s="632"/>
      <c r="D147" s="63" t="s">
        <v>21</v>
      </c>
      <c r="E147" s="635"/>
    </row>
    <row r="148" spans="1:5" s="7" customFormat="1" ht="58.5" customHeight="1" x14ac:dyDescent="0.25">
      <c r="A148" s="631">
        <v>22</v>
      </c>
      <c r="B148" s="630" t="s">
        <v>22</v>
      </c>
      <c r="C148" s="632" t="s">
        <v>88</v>
      </c>
      <c r="D148" s="63" t="s">
        <v>23</v>
      </c>
      <c r="E148" s="633" t="s">
        <v>349</v>
      </c>
    </row>
    <row r="149" spans="1:5" s="7" customFormat="1" ht="58.5" customHeight="1" x14ac:dyDescent="0.25">
      <c r="A149" s="631"/>
      <c r="B149" s="630"/>
      <c r="C149" s="632"/>
      <c r="D149" s="63" t="s">
        <v>24</v>
      </c>
      <c r="E149" s="634"/>
    </row>
    <row r="150" spans="1:5" s="7" customFormat="1" ht="58.5" customHeight="1" x14ac:dyDescent="0.25">
      <c r="A150" s="631"/>
      <c r="B150" s="630"/>
      <c r="C150" s="632"/>
      <c r="D150" s="63" t="s">
        <v>26</v>
      </c>
      <c r="E150" s="635"/>
    </row>
    <row r="151" spans="1:5" s="7" customFormat="1" ht="54.75" customHeight="1" x14ac:dyDescent="0.25">
      <c r="A151" s="631">
        <v>23</v>
      </c>
      <c r="B151" s="630" t="s">
        <v>25</v>
      </c>
      <c r="C151" s="632" t="s">
        <v>89</v>
      </c>
      <c r="D151" s="68" t="s">
        <v>27</v>
      </c>
      <c r="E151" s="636" t="s">
        <v>350</v>
      </c>
    </row>
    <row r="152" spans="1:5" s="7" customFormat="1" ht="36.75" customHeight="1" x14ac:dyDescent="0.25">
      <c r="A152" s="631"/>
      <c r="B152" s="630"/>
      <c r="C152" s="632"/>
      <c r="D152" s="68" t="s">
        <v>28</v>
      </c>
      <c r="E152" s="636"/>
    </row>
    <row r="153" spans="1:5" s="7" customFormat="1" ht="36.75" customHeight="1" x14ac:dyDescent="0.25">
      <c r="A153" s="631"/>
      <c r="B153" s="630"/>
      <c r="C153" s="632"/>
      <c r="D153" s="68" t="s">
        <v>29</v>
      </c>
      <c r="E153" s="636"/>
    </row>
    <row r="154" spans="1:5" s="7" customFormat="1" ht="73.5" customHeight="1" x14ac:dyDescent="0.25">
      <c r="A154" s="631"/>
      <c r="B154" s="630"/>
      <c r="C154" s="632"/>
      <c r="D154" s="68" t="s">
        <v>30</v>
      </c>
      <c r="E154" s="636"/>
    </row>
    <row r="155" spans="1:5" s="7" customFormat="1" ht="69.75" customHeight="1" x14ac:dyDescent="0.25">
      <c r="A155" s="631"/>
      <c r="B155" s="630"/>
      <c r="C155" s="632"/>
      <c r="D155" s="68" t="s">
        <v>31</v>
      </c>
      <c r="E155" s="636"/>
    </row>
    <row r="156" spans="1:5" s="7" customFormat="1" ht="58.5" customHeight="1" x14ac:dyDescent="0.25">
      <c r="A156" s="631">
        <v>24</v>
      </c>
      <c r="B156" s="630" t="s">
        <v>32</v>
      </c>
      <c r="C156" s="632" t="s">
        <v>90</v>
      </c>
      <c r="D156" s="69" t="s">
        <v>33</v>
      </c>
      <c r="E156" s="636" t="s">
        <v>351</v>
      </c>
    </row>
    <row r="157" spans="1:5" s="7" customFormat="1" ht="58.5" customHeight="1" x14ac:dyDescent="0.25">
      <c r="A157" s="631"/>
      <c r="B157" s="630"/>
      <c r="C157" s="632"/>
      <c r="D157" s="69" t="s">
        <v>34</v>
      </c>
      <c r="E157" s="636"/>
    </row>
    <row r="158" spans="1:5" s="7" customFormat="1" ht="39.75" customHeight="1" x14ac:dyDescent="0.25">
      <c r="A158" s="631"/>
      <c r="B158" s="630"/>
      <c r="C158" s="632"/>
      <c r="D158" s="69" t="s">
        <v>35</v>
      </c>
      <c r="E158" s="636"/>
    </row>
    <row r="159" spans="1:5" s="7" customFormat="1" ht="39.75" customHeight="1" x14ac:dyDescent="0.25">
      <c r="A159" s="631"/>
      <c r="B159" s="630"/>
      <c r="C159" s="632"/>
      <c r="D159" s="69" t="s">
        <v>36</v>
      </c>
      <c r="E159" s="636"/>
    </row>
    <row r="160" spans="1:5" s="7" customFormat="1" ht="54" customHeight="1" x14ac:dyDescent="0.25">
      <c r="A160" s="631">
        <v>25</v>
      </c>
      <c r="B160" s="630" t="s">
        <v>37</v>
      </c>
      <c r="C160" s="632" t="s">
        <v>91</v>
      </c>
      <c r="D160" s="68" t="s">
        <v>38</v>
      </c>
      <c r="E160" s="636" t="s">
        <v>352</v>
      </c>
    </row>
    <row r="161" spans="1:5" s="7" customFormat="1" ht="36.75" customHeight="1" x14ac:dyDescent="0.25">
      <c r="A161" s="631"/>
      <c r="B161" s="630"/>
      <c r="C161" s="632"/>
      <c r="D161" s="68" t="s">
        <v>39</v>
      </c>
      <c r="E161" s="636"/>
    </row>
    <row r="162" spans="1:5" s="7" customFormat="1" ht="36.75" customHeight="1" x14ac:dyDescent="0.25">
      <c r="A162" s="631"/>
      <c r="B162" s="630"/>
      <c r="C162" s="632"/>
      <c r="D162" s="68" t="s">
        <v>40</v>
      </c>
      <c r="E162" s="636"/>
    </row>
    <row r="163" spans="1:5" s="7" customFormat="1" ht="36.75" customHeight="1" x14ac:dyDescent="0.25">
      <c r="A163" s="631"/>
      <c r="B163" s="630"/>
      <c r="C163" s="632"/>
      <c r="D163" s="68" t="s">
        <v>41</v>
      </c>
      <c r="E163" s="636"/>
    </row>
    <row r="164" spans="1:5" s="7" customFormat="1" ht="51.75" customHeight="1" x14ac:dyDescent="0.25">
      <c r="A164" s="631">
        <v>26</v>
      </c>
      <c r="B164" s="630" t="s">
        <v>42</v>
      </c>
      <c r="C164" s="632" t="s">
        <v>92</v>
      </c>
      <c r="D164" s="68" t="s">
        <v>43</v>
      </c>
      <c r="E164" s="636" t="s">
        <v>353</v>
      </c>
    </row>
    <row r="165" spans="1:5" s="7" customFormat="1" ht="51.75" customHeight="1" x14ac:dyDescent="0.25">
      <c r="A165" s="631"/>
      <c r="B165" s="630"/>
      <c r="C165" s="632"/>
      <c r="D165" s="68" t="s">
        <v>44</v>
      </c>
      <c r="E165" s="636"/>
    </row>
    <row r="166" spans="1:5" s="7" customFormat="1" ht="51.75" customHeight="1" x14ac:dyDescent="0.25">
      <c r="A166" s="631"/>
      <c r="B166" s="630"/>
      <c r="C166" s="632"/>
      <c r="D166" s="68" t="s">
        <v>45</v>
      </c>
      <c r="E166" s="636"/>
    </row>
    <row r="167" spans="1:5" s="7" customFormat="1" ht="51.75" customHeight="1" x14ac:dyDescent="0.25">
      <c r="A167" s="631"/>
      <c r="B167" s="630"/>
      <c r="C167" s="632"/>
      <c r="D167" s="68" t="s">
        <v>46</v>
      </c>
      <c r="E167" s="636"/>
    </row>
    <row r="168" spans="1:5" s="7" customFormat="1" ht="51.75" customHeight="1" x14ac:dyDescent="0.25">
      <c r="A168" s="631"/>
      <c r="B168" s="630"/>
      <c r="C168" s="632"/>
      <c r="D168" s="68" t="s">
        <v>47</v>
      </c>
      <c r="E168" s="636"/>
    </row>
    <row r="169" spans="1:5" s="7" customFormat="1" ht="51.75" customHeight="1" x14ac:dyDescent="0.25">
      <c r="A169" s="631"/>
      <c r="B169" s="630"/>
      <c r="C169" s="632"/>
      <c r="D169" s="68" t="s">
        <v>48</v>
      </c>
      <c r="E169" s="636"/>
    </row>
    <row r="170" spans="1:5" s="7" customFormat="1" ht="42" customHeight="1" x14ac:dyDescent="0.25">
      <c r="A170" s="640">
        <v>27</v>
      </c>
      <c r="B170" s="637" t="s">
        <v>378</v>
      </c>
      <c r="C170" s="643" t="s">
        <v>379</v>
      </c>
      <c r="D170" s="63" t="s">
        <v>380</v>
      </c>
      <c r="E170" s="633" t="s">
        <v>354</v>
      </c>
    </row>
    <row r="171" spans="1:5" s="7" customFormat="1" ht="42" customHeight="1" x14ac:dyDescent="0.25">
      <c r="A171" s="641"/>
      <c r="B171" s="638"/>
      <c r="C171" s="644"/>
      <c r="D171" s="63" t="s">
        <v>381</v>
      </c>
      <c r="E171" s="634"/>
    </row>
    <row r="172" spans="1:5" s="7" customFormat="1" ht="42" customHeight="1" x14ac:dyDescent="0.25">
      <c r="A172" s="641"/>
      <c r="B172" s="638"/>
      <c r="C172" s="644"/>
      <c r="D172" s="63" t="s">
        <v>382</v>
      </c>
      <c r="E172" s="634"/>
    </row>
    <row r="173" spans="1:5" s="7" customFormat="1" ht="42" customHeight="1" x14ac:dyDescent="0.25">
      <c r="A173" s="642"/>
      <c r="B173" s="639"/>
      <c r="C173" s="645"/>
      <c r="D173" s="63" t="s">
        <v>383</v>
      </c>
      <c r="E173" s="635"/>
    </row>
    <row r="174" spans="1:5" s="7" customFormat="1" ht="41.25" customHeight="1" x14ac:dyDescent="0.25">
      <c r="A174" s="640">
        <v>28</v>
      </c>
      <c r="B174" s="630" t="s">
        <v>49</v>
      </c>
      <c r="C174" s="643" t="s">
        <v>94</v>
      </c>
      <c r="D174" s="68" t="s">
        <v>50</v>
      </c>
      <c r="E174" s="633" t="s">
        <v>355</v>
      </c>
    </row>
    <row r="175" spans="1:5" s="7" customFormat="1" ht="41.25" customHeight="1" x14ac:dyDescent="0.25">
      <c r="A175" s="641"/>
      <c r="B175" s="630"/>
      <c r="C175" s="644"/>
      <c r="D175" s="68" t="s">
        <v>51</v>
      </c>
      <c r="E175" s="634"/>
    </row>
    <row r="176" spans="1:5" s="7" customFormat="1" ht="41.25" customHeight="1" x14ac:dyDescent="0.25">
      <c r="A176" s="641"/>
      <c r="B176" s="630"/>
      <c r="C176" s="644"/>
      <c r="D176" s="68" t="s">
        <v>52</v>
      </c>
      <c r="E176" s="634"/>
    </row>
    <row r="177" spans="1:5" s="7" customFormat="1" ht="56.25" customHeight="1" x14ac:dyDescent="0.25">
      <c r="A177" s="642"/>
      <c r="B177" s="630"/>
      <c r="C177" s="645"/>
      <c r="D177" s="68" t="s">
        <v>53</v>
      </c>
      <c r="E177" s="635"/>
    </row>
    <row r="178" spans="1:5" s="7" customFormat="1" ht="57" customHeight="1" x14ac:dyDescent="0.25">
      <c r="A178" s="640">
        <v>29</v>
      </c>
      <c r="B178" s="646" t="s">
        <v>384</v>
      </c>
      <c r="C178" s="643" t="s">
        <v>93</v>
      </c>
      <c r="D178" s="68" t="s">
        <v>395</v>
      </c>
      <c r="E178" s="633" t="s">
        <v>356</v>
      </c>
    </row>
    <row r="179" spans="1:5" s="7" customFormat="1" ht="57" customHeight="1" x14ac:dyDescent="0.25">
      <c r="A179" s="641"/>
      <c r="B179" s="647"/>
      <c r="C179" s="644"/>
      <c r="D179" s="68" t="s">
        <v>396</v>
      </c>
      <c r="E179" s="634"/>
    </row>
    <row r="180" spans="1:5" s="7" customFormat="1" ht="57" customHeight="1" x14ac:dyDescent="0.25">
      <c r="A180" s="641"/>
      <c r="B180" s="647"/>
      <c r="C180" s="644"/>
      <c r="D180" s="68" t="s">
        <v>397</v>
      </c>
      <c r="E180" s="634"/>
    </row>
    <row r="181" spans="1:5" s="7" customFormat="1" ht="57" customHeight="1" x14ac:dyDescent="0.25">
      <c r="A181" s="642"/>
      <c r="B181" s="648"/>
      <c r="C181" s="645"/>
      <c r="D181" s="68" t="s">
        <v>398</v>
      </c>
      <c r="E181" s="635"/>
    </row>
    <row r="182" spans="1:5" s="7" customFormat="1" ht="41.25" customHeight="1" x14ac:dyDescent="0.25">
      <c r="A182" s="640">
        <v>30</v>
      </c>
      <c r="B182" s="630" t="s">
        <v>385</v>
      </c>
      <c r="C182" s="643" t="s">
        <v>95</v>
      </c>
      <c r="D182" s="68" t="s">
        <v>399</v>
      </c>
      <c r="E182" s="633" t="s">
        <v>377</v>
      </c>
    </row>
    <row r="183" spans="1:5" s="7" customFormat="1" ht="41.25" customHeight="1" x14ac:dyDescent="0.25">
      <c r="A183" s="641"/>
      <c r="B183" s="630"/>
      <c r="C183" s="644"/>
      <c r="D183" s="68" t="s">
        <v>400</v>
      </c>
      <c r="E183" s="634"/>
    </row>
    <row r="184" spans="1:5" s="7" customFormat="1" ht="41.25" customHeight="1" x14ac:dyDescent="0.25">
      <c r="A184" s="641"/>
      <c r="B184" s="630"/>
      <c r="C184" s="644"/>
      <c r="D184" s="68" t="s">
        <v>401</v>
      </c>
      <c r="E184" s="634"/>
    </row>
    <row r="185" spans="1:5" s="7" customFormat="1" ht="41.25" customHeight="1" x14ac:dyDescent="0.25">
      <c r="A185" s="641"/>
      <c r="B185" s="630"/>
      <c r="C185" s="644"/>
      <c r="D185" s="68" t="s">
        <v>402</v>
      </c>
      <c r="E185" s="634"/>
    </row>
    <row r="186" spans="1:5" s="7" customFormat="1" ht="41.25" customHeight="1" x14ac:dyDescent="0.25">
      <c r="A186" s="641"/>
      <c r="B186" s="630"/>
      <c r="C186" s="644"/>
      <c r="D186" s="68" t="s">
        <v>403</v>
      </c>
      <c r="E186" s="634"/>
    </row>
    <row r="187" spans="1:5" s="7" customFormat="1" ht="41.25" customHeight="1" x14ac:dyDescent="0.25">
      <c r="A187" s="642"/>
      <c r="B187" s="630"/>
      <c r="C187" s="645"/>
      <c r="D187" s="68" t="s">
        <v>404</v>
      </c>
      <c r="E187" s="635"/>
    </row>
    <row r="188" spans="1:5" s="7" customFormat="1" ht="31.2" x14ac:dyDescent="0.3">
      <c r="A188" s="64">
        <v>31</v>
      </c>
      <c r="B188" s="63" t="s">
        <v>8</v>
      </c>
      <c r="C188" s="65"/>
      <c r="D188" s="65"/>
      <c r="E188" s="66"/>
    </row>
    <row r="189" spans="1:5" s="7" customFormat="1" ht="46.8" x14ac:dyDescent="0.3">
      <c r="A189" s="64">
        <v>32</v>
      </c>
      <c r="B189" s="63" t="s">
        <v>9</v>
      </c>
      <c r="C189" s="65"/>
      <c r="D189" s="65"/>
      <c r="E189" s="66"/>
    </row>
  </sheetData>
  <mergeCells count="129">
    <mergeCell ref="B5:B11"/>
    <mergeCell ref="C5:C11"/>
    <mergeCell ref="E5:E11"/>
    <mergeCell ref="A5:A11"/>
    <mergeCell ref="A12:A23"/>
    <mergeCell ref="A69:A78"/>
    <mergeCell ref="A119:A125"/>
    <mergeCell ref="B119:B125"/>
    <mergeCell ref="C119:C125"/>
    <mergeCell ref="E119:E125"/>
    <mergeCell ref="B85:B88"/>
    <mergeCell ref="C85:C88"/>
    <mergeCell ref="B102:B105"/>
    <mergeCell ref="C102:C105"/>
    <mergeCell ref="A102:A105"/>
    <mergeCell ref="C42:C51"/>
    <mergeCell ref="A52:A59"/>
    <mergeCell ref="B52:B59"/>
    <mergeCell ref="C52:C59"/>
    <mergeCell ref="B60:B68"/>
    <mergeCell ref="A60:A68"/>
    <mergeCell ref="C60:C68"/>
    <mergeCell ref="B94:B101"/>
    <mergeCell ref="A94:A101"/>
    <mergeCell ref="A174:A177"/>
    <mergeCell ref="E178:E181"/>
    <mergeCell ref="E174:E177"/>
    <mergeCell ref="E182:E187"/>
    <mergeCell ref="A182:A187"/>
    <mergeCell ref="C178:C181"/>
    <mergeCell ref="C174:C177"/>
    <mergeCell ref="C182:C187"/>
    <mergeCell ref="B178:B181"/>
    <mergeCell ref="B174:B177"/>
    <mergeCell ref="B182:B187"/>
    <mergeCell ref="A178:A181"/>
    <mergeCell ref="B170:B173"/>
    <mergeCell ref="A170:A173"/>
    <mergeCell ref="C170:C173"/>
    <mergeCell ref="E170:E173"/>
    <mergeCell ref="B160:B163"/>
    <mergeCell ref="C160:C163"/>
    <mergeCell ref="A160:A163"/>
    <mergeCell ref="E160:E163"/>
    <mergeCell ref="B164:B169"/>
    <mergeCell ref="C164:C169"/>
    <mergeCell ref="E164:E169"/>
    <mergeCell ref="A164:A169"/>
    <mergeCell ref="B148:B150"/>
    <mergeCell ref="A148:A150"/>
    <mergeCell ref="C148:C150"/>
    <mergeCell ref="E148:E150"/>
    <mergeCell ref="B151:B155"/>
    <mergeCell ref="A151:A155"/>
    <mergeCell ref="C151:C155"/>
    <mergeCell ref="E151:E155"/>
    <mergeCell ref="B156:B159"/>
    <mergeCell ref="C156:C159"/>
    <mergeCell ref="E156:E159"/>
    <mergeCell ref="A156:A159"/>
    <mergeCell ref="B136:B139"/>
    <mergeCell ref="C136:C139"/>
    <mergeCell ref="E136:E139"/>
    <mergeCell ref="A136:A139"/>
    <mergeCell ref="B141:B143"/>
    <mergeCell ref="A141:A143"/>
    <mergeCell ref="C141:C143"/>
    <mergeCell ref="E141:E143"/>
    <mergeCell ref="B144:B147"/>
    <mergeCell ref="A144:A147"/>
    <mergeCell ref="C144:C147"/>
    <mergeCell ref="E144:E147"/>
    <mergeCell ref="A2:E2"/>
    <mergeCell ref="A4:E4"/>
    <mergeCell ref="A126:E126"/>
    <mergeCell ref="A140:E140"/>
    <mergeCell ref="B127:B128"/>
    <mergeCell ref="C127:C128"/>
    <mergeCell ref="E127:E128"/>
    <mergeCell ref="A127:A128"/>
    <mergeCell ref="C24:C30"/>
    <mergeCell ref="B24:B30"/>
    <mergeCell ref="A24:A30"/>
    <mergeCell ref="C31:C41"/>
    <mergeCell ref="B31:B41"/>
    <mergeCell ref="A31:A41"/>
    <mergeCell ref="B42:B51"/>
    <mergeCell ref="A42:A51"/>
    <mergeCell ref="B129:B130"/>
    <mergeCell ref="C129:C130"/>
    <mergeCell ref="E129:E130"/>
    <mergeCell ref="A129:A130"/>
    <mergeCell ref="B131:B135"/>
    <mergeCell ref="C131:C135"/>
    <mergeCell ref="E131:E135"/>
    <mergeCell ref="A131:A135"/>
    <mergeCell ref="C94:C101"/>
    <mergeCell ref="E94:E101"/>
    <mergeCell ref="B106:B112"/>
    <mergeCell ref="A106:A112"/>
    <mergeCell ref="C106:C112"/>
    <mergeCell ref="E106:E112"/>
    <mergeCell ref="B79:B84"/>
    <mergeCell ref="A79:A84"/>
    <mergeCell ref="C79:C84"/>
    <mergeCell ref="B69:B78"/>
    <mergeCell ref="C69:C78"/>
    <mergeCell ref="A1:E1"/>
    <mergeCell ref="E24:E30"/>
    <mergeCell ref="E113:E118"/>
    <mergeCell ref="E89:E93"/>
    <mergeCell ref="E79:E84"/>
    <mergeCell ref="E69:E78"/>
    <mergeCell ref="E31:E41"/>
    <mergeCell ref="E42:E51"/>
    <mergeCell ref="E52:E59"/>
    <mergeCell ref="E60:E68"/>
    <mergeCell ref="E102:E105"/>
    <mergeCell ref="E12:E23"/>
    <mergeCell ref="E85:E88"/>
    <mergeCell ref="A113:A118"/>
    <mergeCell ref="B113:B118"/>
    <mergeCell ref="C113:C118"/>
    <mergeCell ref="B89:B93"/>
    <mergeCell ref="A89:A93"/>
    <mergeCell ref="C89:C93"/>
    <mergeCell ref="B12:B23"/>
    <mergeCell ref="C12:C23"/>
    <mergeCell ref="A85:A88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16" workbookViewId="0">
      <selection activeCell="K10" sqref="K10"/>
    </sheetView>
  </sheetViews>
  <sheetFormatPr defaultColWidth="9.109375" defaultRowHeight="13.2" x14ac:dyDescent="0.3"/>
  <cols>
    <col min="1" max="1" width="5.6640625" style="21" customWidth="1"/>
    <col min="2" max="2" width="75.44140625" style="9" customWidth="1"/>
    <col min="3" max="3" width="11.5546875" style="9" customWidth="1"/>
    <col min="4" max="4" width="11.44140625" style="9" customWidth="1"/>
    <col min="5" max="16384" width="9.109375" style="9"/>
  </cols>
  <sheetData>
    <row r="1" spans="1:6" ht="27" customHeight="1" x14ac:dyDescent="0.3">
      <c r="A1" s="653" t="s">
        <v>281</v>
      </c>
      <c r="B1" s="653"/>
      <c r="C1" s="653"/>
      <c r="D1" s="653"/>
      <c r="E1" s="653"/>
      <c r="F1" s="653"/>
    </row>
    <row r="2" spans="1:6" ht="18.75" customHeight="1" x14ac:dyDescent="0.3">
      <c r="A2" s="654" t="s">
        <v>83</v>
      </c>
      <c r="B2" s="654" t="s">
        <v>84</v>
      </c>
      <c r="C2" s="654" t="s">
        <v>96</v>
      </c>
      <c r="D2" s="654"/>
      <c r="E2" s="629" t="s">
        <v>98</v>
      </c>
      <c r="F2" s="629" t="s">
        <v>99</v>
      </c>
    </row>
    <row r="3" spans="1:6" ht="15.75" customHeight="1" x14ac:dyDescent="0.3">
      <c r="A3" s="654"/>
      <c r="B3" s="654"/>
      <c r="C3" s="31" t="s">
        <v>97</v>
      </c>
      <c r="D3" s="31" t="s">
        <v>100</v>
      </c>
      <c r="E3" s="629"/>
      <c r="F3" s="629"/>
    </row>
    <row r="4" spans="1:6" ht="20.25" customHeight="1" x14ac:dyDescent="0.3">
      <c r="A4" s="70">
        <v>1</v>
      </c>
      <c r="B4" s="71" t="s">
        <v>292</v>
      </c>
      <c r="C4" s="33">
        <v>5</v>
      </c>
      <c r="D4" s="33">
        <v>120</v>
      </c>
      <c r="E4" s="72" t="s">
        <v>106</v>
      </c>
      <c r="F4" s="33" t="s">
        <v>107</v>
      </c>
    </row>
    <row r="5" spans="1:6" ht="20.25" customHeight="1" x14ac:dyDescent="0.3">
      <c r="A5" s="70">
        <v>1</v>
      </c>
      <c r="B5" s="46" t="s">
        <v>293</v>
      </c>
      <c r="C5" s="44" t="s">
        <v>103</v>
      </c>
      <c r="D5" s="33">
        <v>72</v>
      </c>
      <c r="E5" s="72">
        <v>1.2</v>
      </c>
      <c r="F5" s="33" t="s">
        <v>109</v>
      </c>
    </row>
    <row r="6" spans="1:6" ht="20.25" customHeight="1" x14ac:dyDescent="0.3">
      <c r="A6" s="70">
        <v>1</v>
      </c>
      <c r="B6" s="73" t="s">
        <v>294</v>
      </c>
      <c r="C6" s="44" t="s">
        <v>101</v>
      </c>
      <c r="D6" s="33">
        <v>96</v>
      </c>
      <c r="E6" s="72" t="s">
        <v>106</v>
      </c>
      <c r="F6" s="33" t="s">
        <v>107</v>
      </c>
    </row>
    <row r="7" spans="1:6" ht="20.25" customHeight="1" x14ac:dyDescent="0.3">
      <c r="A7" s="70">
        <v>1</v>
      </c>
      <c r="B7" s="60" t="s">
        <v>295</v>
      </c>
      <c r="C7" s="44" t="s">
        <v>101</v>
      </c>
      <c r="D7" s="33">
        <v>96</v>
      </c>
      <c r="E7" s="33" t="s">
        <v>106</v>
      </c>
      <c r="F7" s="33" t="s">
        <v>108</v>
      </c>
    </row>
    <row r="8" spans="1:6" ht="20.25" customHeight="1" x14ac:dyDescent="0.3">
      <c r="A8" s="70">
        <v>1</v>
      </c>
      <c r="B8" s="74" t="s">
        <v>296</v>
      </c>
      <c r="C8" s="44" t="s">
        <v>101</v>
      </c>
      <c r="D8" s="33">
        <v>96</v>
      </c>
      <c r="E8" s="33" t="s">
        <v>106</v>
      </c>
      <c r="F8" s="33" t="s">
        <v>109</v>
      </c>
    </row>
    <row r="9" spans="1:6" ht="20.25" customHeight="1" x14ac:dyDescent="0.3">
      <c r="A9" s="70">
        <v>1</v>
      </c>
      <c r="B9" s="48" t="s">
        <v>297</v>
      </c>
      <c r="C9" s="44" t="s">
        <v>101</v>
      </c>
      <c r="D9" s="33">
        <v>96</v>
      </c>
      <c r="E9" s="33" t="s">
        <v>106</v>
      </c>
      <c r="F9" s="33" t="s">
        <v>109</v>
      </c>
    </row>
    <row r="10" spans="1:6" ht="20.25" customHeight="1" x14ac:dyDescent="0.3">
      <c r="A10" s="70">
        <v>1</v>
      </c>
      <c r="B10" s="48" t="s">
        <v>298</v>
      </c>
      <c r="C10" s="75" t="s">
        <v>103</v>
      </c>
      <c r="D10" s="33">
        <v>72</v>
      </c>
      <c r="E10" s="33" t="s">
        <v>106</v>
      </c>
      <c r="F10" s="33" t="s">
        <v>105</v>
      </c>
    </row>
    <row r="11" spans="1:6" ht="20.25" customHeight="1" x14ac:dyDescent="0.3">
      <c r="A11" s="70">
        <v>1</v>
      </c>
      <c r="B11" s="48" t="s">
        <v>299</v>
      </c>
      <c r="C11" s="75" t="s">
        <v>102</v>
      </c>
      <c r="D11" s="33">
        <v>120</v>
      </c>
      <c r="E11" s="33" t="s">
        <v>106</v>
      </c>
      <c r="F11" s="33" t="s">
        <v>110</v>
      </c>
    </row>
    <row r="12" spans="1:6" ht="20.25" customHeight="1" x14ac:dyDescent="0.3">
      <c r="A12" s="70">
        <v>1</v>
      </c>
      <c r="B12" s="46" t="s">
        <v>300</v>
      </c>
      <c r="C12" s="75" t="s">
        <v>101</v>
      </c>
      <c r="D12" s="33">
        <v>96</v>
      </c>
      <c r="E12" s="33" t="s">
        <v>106</v>
      </c>
      <c r="F12" s="33" t="s">
        <v>109</v>
      </c>
    </row>
    <row r="13" spans="1:6" ht="20.25" customHeight="1" x14ac:dyDescent="0.3">
      <c r="A13" s="70">
        <v>1</v>
      </c>
      <c r="B13" s="49" t="s">
        <v>301</v>
      </c>
      <c r="C13" s="75" t="s">
        <v>101</v>
      </c>
      <c r="D13" s="33">
        <v>96</v>
      </c>
      <c r="E13" s="33" t="s">
        <v>106</v>
      </c>
      <c r="F13" s="33" t="s">
        <v>109</v>
      </c>
    </row>
    <row r="14" spans="1:6" ht="20.25" customHeight="1" x14ac:dyDescent="0.3">
      <c r="A14" s="70">
        <v>1</v>
      </c>
      <c r="B14" s="49" t="s">
        <v>11</v>
      </c>
      <c r="C14" s="75" t="s">
        <v>103</v>
      </c>
      <c r="D14" s="33">
        <v>72</v>
      </c>
      <c r="E14" s="33" t="s">
        <v>106</v>
      </c>
      <c r="F14" s="33" t="s">
        <v>109</v>
      </c>
    </row>
    <row r="15" spans="1:6" ht="20.25" customHeight="1" x14ac:dyDescent="0.3">
      <c r="A15" s="70">
        <v>1</v>
      </c>
      <c r="B15" s="49" t="s">
        <v>302</v>
      </c>
      <c r="C15" s="75" t="s">
        <v>103</v>
      </c>
      <c r="D15" s="33">
        <v>72</v>
      </c>
      <c r="E15" s="33" t="s">
        <v>106</v>
      </c>
      <c r="F15" s="33" t="s">
        <v>109</v>
      </c>
    </row>
    <row r="16" spans="1:6" ht="20.25" customHeight="1" x14ac:dyDescent="0.3">
      <c r="A16" s="70">
        <v>1</v>
      </c>
      <c r="B16" s="50" t="s">
        <v>303</v>
      </c>
      <c r="C16" s="75" t="s">
        <v>103</v>
      </c>
      <c r="D16" s="33">
        <v>72</v>
      </c>
      <c r="E16" s="33" t="s">
        <v>106</v>
      </c>
      <c r="F16" s="33" t="s">
        <v>109</v>
      </c>
    </row>
    <row r="17" spans="1:8" ht="20.25" customHeight="1" x14ac:dyDescent="0.3">
      <c r="A17" s="70">
        <v>1</v>
      </c>
      <c r="B17" s="51" t="s">
        <v>304</v>
      </c>
      <c r="C17" s="75" t="s">
        <v>103</v>
      </c>
      <c r="D17" s="33">
        <v>72</v>
      </c>
      <c r="E17" s="33" t="s">
        <v>106</v>
      </c>
      <c r="F17" s="33" t="s">
        <v>109</v>
      </c>
    </row>
    <row r="18" spans="1:8" ht="20.25" customHeight="1" x14ac:dyDescent="0.3">
      <c r="A18" s="70">
        <v>1</v>
      </c>
      <c r="B18" s="52" t="s">
        <v>305</v>
      </c>
      <c r="C18" s="76" t="s">
        <v>101</v>
      </c>
      <c r="D18" s="33">
        <v>96</v>
      </c>
      <c r="E18" s="33" t="s">
        <v>106</v>
      </c>
      <c r="F18" s="33" t="s">
        <v>107</v>
      </c>
    </row>
    <row r="19" spans="1:8" ht="20.25" customHeight="1" x14ac:dyDescent="0.3">
      <c r="A19" s="70">
        <v>1</v>
      </c>
      <c r="B19" s="52" t="s">
        <v>12</v>
      </c>
      <c r="C19" s="76" t="s">
        <v>104</v>
      </c>
      <c r="D19" s="33">
        <v>24</v>
      </c>
      <c r="E19" s="33">
        <v>2</v>
      </c>
      <c r="F19" s="33" t="s">
        <v>109</v>
      </c>
    </row>
    <row r="20" spans="1:8" ht="33" customHeight="1" x14ac:dyDescent="0.3">
      <c r="A20" s="31">
        <v>4</v>
      </c>
      <c r="B20" s="77" t="s">
        <v>13</v>
      </c>
      <c r="C20" s="33">
        <v>12</v>
      </c>
      <c r="D20" s="33">
        <v>276</v>
      </c>
      <c r="E20" s="44" t="s">
        <v>391</v>
      </c>
      <c r="F20" s="33" t="s">
        <v>107</v>
      </c>
    </row>
    <row r="21" spans="1:8" ht="33" customHeight="1" x14ac:dyDescent="0.3">
      <c r="A21" s="31">
        <v>2</v>
      </c>
      <c r="B21" s="77" t="s">
        <v>6</v>
      </c>
      <c r="C21" s="33">
        <v>1</v>
      </c>
      <c r="D21" s="33">
        <v>24</v>
      </c>
      <c r="E21" s="33">
        <v>3</v>
      </c>
      <c r="F21" s="33" t="s">
        <v>109</v>
      </c>
    </row>
    <row r="22" spans="1:8" ht="33" customHeight="1" x14ac:dyDescent="0.3">
      <c r="A22" s="31">
        <v>2</v>
      </c>
      <c r="B22" s="78" t="s">
        <v>73</v>
      </c>
      <c r="C22" s="33">
        <v>7</v>
      </c>
      <c r="D22" s="33">
        <v>168</v>
      </c>
      <c r="E22" s="33">
        <v>4</v>
      </c>
      <c r="F22" s="33" t="s">
        <v>109</v>
      </c>
    </row>
    <row r="23" spans="1:8" ht="51" customHeight="1" x14ac:dyDescent="0.3">
      <c r="A23" s="31">
        <v>3</v>
      </c>
      <c r="B23" s="78" t="s">
        <v>112</v>
      </c>
      <c r="C23" s="33">
        <v>5</v>
      </c>
      <c r="D23" s="33">
        <v>120</v>
      </c>
      <c r="E23" s="33">
        <v>7</v>
      </c>
      <c r="F23" s="33" t="s">
        <v>109</v>
      </c>
    </row>
    <row r="24" spans="1:8" ht="33" customHeight="1" x14ac:dyDescent="0.3">
      <c r="A24" s="31">
        <v>2</v>
      </c>
      <c r="B24" s="78" t="s">
        <v>14</v>
      </c>
      <c r="C24" s="33">
        <v>11.5</v>
      </c>
      <c r="D24" s="33">
        <v>276</v>
      </c>
      <c r="E24" s="33">
        <v>3</v>
      </c>
      <c r="F24" s="33" t="s">
        <v>108</v>
      </c>
    </row>
    <row r="25" spans="1:8" ht="33" customHeight="1" x14ac:dyDescent="0.3">
      <c r="A25" s="31">
        <v>2</v>
      </c>
      <c r="B25" s="78" t="s">
        <v>17</v>
      </c>
      <c r="C25" s="33">
        <v>19.5</v>
      </c>
      <c r="D25" s="33">
        <v>468</v>
      </c>
      <c r="E25" s="33" t="s">
        <v>113</v>
      </c>
      <c r="F25" s="33" t="s">
        <v>108</v>
      </c>
      <c r="H25" s="10"/>
    </row>
    <row r="26" spans="1:8" ht="33" customHeight="1" x14ac:dyDescent="0.3">
      <c r="A26" s="31">
        <v>2</v>
      </c>
      <c r="B26" s="78" t="s">
        <v>22</v>
      </c>
      <c r="C26" s="33">
        <v>4.5</v>
      </c>
      <c r="D26" s="33">
        <v>108</v>
      </c>
      <c r="E26" s="33">
        <v>4</v>
      </c>
      <c r="F26" s="33" t="s">
        <v>109</v>
      </c>
    </row>
    <row r="27" spans="1:8" ht="33" customHeight="1" x14ac:dyDescent="0.3">
      <c r="A27" s="79" t="s">
        <v>405</v>
      </c>
      <c r="B27" s="78" t="s">
        <v>25</v>
      </c>
      <c r="C27" s="33">
        <v>17</v>
      </c>
      <c r="D27" s="33">
        <v>408</v>
      </c>
      <c r="E27" s="33">
        <v>4.5</v>
      </c>
      <c r="F27" s="33" t="s">
        <v>108</v>
      </c>
    </row>
    <row r="28" spans="1:8" ht="33" customHeight="1" x14ac:dyDescent="0.3">
      <c r="A28" s="31">
        <v>3</v>
      </c>
      <c r="B28" s="78" t="s">
        <v>32</v>
      </c>
      <c r="C28" s="33">
        <v>17</v>
      </c>
      <c r="D28" s="33">
        <v>408</v>
      </c>
      <c r="E28" s="80" t="s">
        <v>114</v>
      </c>
      <c r="F28" s="33" t="s">
        <v>108</v>
      </c>
    </row>
    <row r="29" spans="1:8" ht="33" customHeight="1" x14ac:dyDescent="0.3">
      <c r="A29" s="31">
        <v>3</v>
      </c>
      <c r="B29" s="78" t="s">
        <v>37</v>
      </c>
      <c r="C29" s="33">
        <v>10.5</v>
      </c>
      <c r="D29" s="33">
        <v>252</v>
      </c>
      <c r="E29" s="80" t="s">
        <v>114</v>
      </c>
      <c r="F29" s="33" t="s">
        <v>108</v>
      </c>
    </row>
    <row r="30" spans="1:8" ht="33" customHeight="1" x14ac:dyDescent="0.3">
      <c r="A30" s="31">
        <v>3</v>
      </c>
      <c r="B30" s="78" t="s">
        <v>115</v>
      </c>
      <c r="C30" s="33">
        <v>3</v>
      </c>
      <c r="D30" s="33">
        <v>72</v>
      </c>
      <c r="E30" s="33">
        <v>6</v>
      </c>
      <c r="F30" s="33" t="s">
        <v>109</v>
      </c>
    </row>
    <row r="31" spans="1:8" ht="33" customHeight="1" x14ac:dyDescent="0.3">
      <c r="A31" s="31">
        <v>3</v>
      </c>
      <c r="B31" s="78" t="s">
        <v>378</v>
      </c>
      <c r="C31" s="33">
        <v>9</v>
      </c>
      <c r="D31" s="33">
        <v>216</v>
      </c>
      <c r="E31" s="33">
        <v>6</v>
      </c>
      <c r="F31" s="33" t="s">
        <v>105</v>
      </c>
    </row>
    <row r="32" spans="1:8" ht="33" customHeight="1" x14ac:dyDescent="0.3">
      <c r="A32" s="79" t="s">
        <v>386</v>
      </c>
      <c r="B32" s="78" t="s">
        <v>49</v>
      </c>
      <c r="C32" s="33">
        <v>9</v>
      </c>
      <c r="D32" s="33">
        <v>216</v>
      </c>
      <c r="E32" s="33">
        <v>6.7</v>
      </c>
      <c r="F32" s="33" t="s">
        <v>108</v>
      </c>
    </row>
    <row r="33" spans="1:6" ht="33" customHeight="1" x14ac:dyDescent="0.3">
      <c r="A33" s="31">
        <v>4</v>
      </c>
      <c r="B33" s="78" t="s">
        <v>384</v>
      </c>
      <c r="C33" s="33">
        <v>15.5</v>
      </c>
      <c r="D33" s="33">
        <v>372</v>
      </c>
      <c r="E33" s="33">
        <v>7.8</v>
      </c>
      <c r="F33" s="33" t="s">
        <v>109</v>
      </c>
    </row>
    <row r="34" spans="1:6" ht="33" customHeight="1" x14ac:dyDescent="0.3">
      <c r="A34" s="31">
        <v>4</v>
      </c>
      <c r="B34" s="77" t="s">
        <v>387</v>
      </c>
      <c r="C34" s="33">
        <v>21</v>
      </c>
      <c r="D34" s="33">
        <v>504</v>
      </c>
      <c r="E34" s="33">
        <v>7</v>
      </c>
      <c r="F34" s="33" t="s">
        <v>108</v>
      </c>
    </row>
    <row r="35" spans="1:6" ht="18" customHeight="1" x14ac:dyDescent="0.3">
      <c r="A35" s="79" t="s">
        <v>122</v>
      </c>
      <c r="B35" s="51" t="s">
        <v>116</v>
      </c>
      <c r="C35" s="44">
        <v>9</v>
      </c>
      <c r="D35" s="44">
        <v>216</v>
      </c>
      <c r="E35" s="44" t="s">
        <v>123</v>
      </c>
      <c r="F35" s="44" t="s">
        <v>105</v>
      </c>
    </row>
    <row r="36" spans="1:6" ht="18" customHeight="1" x14ac:dyDescent="0.3">
      <c r="A36" s="79" t="s">
        <v>282</v>
      </c>
      <c r="B36" s="51" t="s">
        <v>117</v>
      </c>
      <c r="C36" s="44" t="s">
        <v>103</v>
      </c>
      <c r="D36" s="44" t="s">
        <v>124</v>
      </c>
      <c r="E36" s="44" t="s">
        <v>125</v>
      </c>
      <c r="F36" s="44" t="s">
        <v>105</v>
      </c>
    </row>
    <row r="37" spans="1:6" ht="18" customHeight="1" x14ac:dyDescent="0.3">
      <c r="A37" s="79" t="s">
        <v>101</v>
      </c>
      <c r="B37" s="63" t="s">
        <v>283</v>
      </c>
      <c r="C37" s="44" t="s">
        <v>284</v>
      </c>
      <c r="D37" s="44" t="s">
        <v>285</v>
      </c>
      <c r="E37" s="44" t="s">
        <v>286</v>
      </c>
      <c r="F37" s="44"/>
    </row>
    <row r="38" spans="1:6" ht="18" customHeight="1" x14ac:dyDescent="0.3">
      <c r="A38" s="79" t="s">
        <v>122</v>
      </c>
      <c r="B38" s="51" t="s">
        <v>118</v>
      </c>
      <c r="C38" s="44" t="s">
        <v>389</v>
      </c>
      <c r="D38" s="44" t="s">
        <v>388</v>
      </c>
      <c r="E38" s="44" t="s">
        <v>390</v>
      </c>
      <c r="F38" s="44"/>
    </row>
    <row r="39" spans="1:6" ht="18" customHeight="1" x14ac:dyDescent="0.3">
      <c r="A39" s="79" t="s">
        <v>122</v>
      </c>
      <c r="B39" s="81" t="s">
        <v>119</v>
      </c>
      <c r="C39" s="44" t="s">
        <v>127</v>
      </c>
      <c r="D39" s="44" t="s">
        <v>126</v>
      </c>
      <c r="E39" s="44"/>
      <c r="F39" s="44"/>
    </row>
    <row r="40" spans="1:6" ht="18" customHeight="1" x14ac:dyDescent="0.3">
      <c r="A40" s="79" t="s">
        <v>122</v>
      </c>
      <c r="B40" s="51" t="s">
        <v>120</v>
      </c>
      <c r="C40" s="44" t="s">
        <v>393</v>
      </c>
      <c r="D40" s="44" t="s">
        <v>392</v>
      </c>
      <c r="E40" s="44"/>
      <c r="F40" s="44"/>
    </row>
    <row r="41" spans="1:6" ht="18" customHeight="1" x14ac:dyDescent="0.3">
      <c r="A41" s="79" t="s">
        <v>122</v>
      </c>
      <c r="B41" s="51" t="s">
        <v>121</v>
      </c>
      <c r="C41" s="44" t="s">
        <v>128</v>
      </c>
      <c r="D41" s="44" t="s">
        <v>129</v>
      </c>
      <c r="E41" s="44"/>
      <c r="F41" s="44"/>
    </row>
  </sheetData>
  <mergeCells count="6">
    <mergeCell ref="A1:F1"/>
    <mergeCell ref="C2:D2"/>
    <mergeCell ref="A2:A3"/>
    <mergeCell ref="B2:B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5"/>
  <sheetViews>
    <sheetView topLeftCell="A9" zoomScale="90" zoomScaleNormal="90" workbookViewId="0">
      <selection activeCell="B36" sqref="B36"/>
    </sheetView>
  </sheetViews>
  <sheetFormatPr defaultColWidth="9.109375" defaultRowHeight="13.2" x14ac:dyDescent="0.25"/>
  <cols>
    <col min="1" max="1" width="4.5546875" style="18" customWidth="1"/>
    <col min="2" max="2" width="85.109375" style="11" customWidth="1"/>
    <col min="3" max="3" width="5.33203125" style="11" customWidth="1"/>
    <col min="4" max="4" width="4" style="11" customWidth="1"/>
    <col min="5" max="5" width="5.5546875" style="11" customWidth="1"/>
    <col min="6" max="9" width="4" style="11" customWidth="1"/>
    <col min="10" max="10" width="5.33203125" style="11" customWidth="1"/>
    <col min="11" max="11" width="5" style="11" customWidth="1"/>
    <col min="12" max="15" width="4" style="11" customWidth="1"/>
    <col min="16" max="17" width="5.44140625" style="11" customWidth="1"/>
    <col min="18" max="19" width="6" style="11" customWidth="1"/>
    <col min="20" max="20" width="12.5546875" style="11" customWidth="1"/>
    <col min="21" max="21" width="9.6640625" style="11" customWidth="1"/>
    <col min="22" max="22" width="11.88671875" style="11" customWidth="1"/>
    <col min="23" max="23" width="6" style="11" customWidth="1"/>
    <col min="24" max="24" width="3.5546875" style="11" customWidth="1"/>
    <col min="25" max="25" width="6" style="11" customWidth="1"/>
    <col min="26" max="26" width="5.44140625" style="11" customWidth="1"/>
    <col min="27" max="27" width="9.109375" style="11" customWidth="1"/>
    <col min="28" max="31" width="6.109375" style="11" customWidth="1"/>
    <col min="32" max="32" width="5.5546875" style="11" customWidth="1"/>
    <col min="33" max="16384" width="9.109375" style="11"/>
  </cols>
  <sheetData>
    <row r="1" spans="1:34" ht="24" customHeight="1" x14ac:dyDescent="0.25">
      <c r="A1" s="655" t="s">
        <v>130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24"/>
      <c r="N1" s="24"/>
      <c r="O1" s="24"/>
      <c r="P1" s="24"/>
      <c r="Q1" s="24"/>
      <c r="R1" s="24"/>
      <c r="S1" s="24"/>
      <c r="T1" s="24"/>
      <c r="U1" s="25"/>
    </row>
    <row r="2" spans="1:34" ht="13.8" hidden="1" x14ac:dyDescent="0.25">
      <c r="A2" s="16"/>
      <c r="B2" s="13"/>
      <c r="C2" s="13"/>
      <c r="D2" s="13"/>
      <c r="E2" s="13"/>
      <c r="F2" s="13"/>
      <c r="G2" s="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1:34" ht="165" customHeight="1" x14ac:dyDescent="0.25">
      <c r="A3" s="33" t="s">
        <v>3</v>
      </c>
      <c r="B3" s="34" t="s">
        <v>275</v>
      </c>
      <c r="C3" s="35" t="s">
        <v>292</v>
      </c>
      <c r="D3" s="36" t="s">
        <v>293</v>
      </c>
      <c r="E3" s="36" t="s">
        <v>294</v>
      </c>
      <c r="F3" s="37" t="s">
        <v>295</v>
      </c>
      <c r="G3" s="37" t="s">
        <v>296</v>
      </c>
      <c r="H3" s="38" t="s">
        <v>297</v>
      </c>
      <c r="I3" s="38" t="s">
        <v>298</v>
      </c>
      <c r="J3" s="38" t="s">
        <v>299</v>
      </c>
      <c r="K3" s="36" t="s">
        <v>300</v>
      </c>
      <c r="L3" s="39" t="s">
        <v>301</v>
      </c>
      <c r="M3" s="39" t="s">
        <v>11</v>
      </c>
      <c r="N3" s="39" t="s">
        <v>302</v>
      </c>
      <c r="O3" s="40" t="s">
        <v>303</v>
      </c>
      <c r="P3" s="41" t="s">
        <v>304</v>
      </c>
      <c r="Q3" s="42" t="s">
        <v>305</v>
      </c>
      <c r="R3" s="42" t="s">
        <v>12</v>
      </c>
      <c r="S3" s="43" t="s">
        <v>111</v>
      </c>
      <c r="T3" s="43" t="s">
        <v>6</v>
      </c>
      <c r="U3" s="43" t="s">
        <v>73</v>
      </c>
      <c r="V3" s="43" t="s">
        <v>112</v>
      </c>
      <c r="W3" s="43" t="s">
        <v>14</v>
      </c>
      <c r="X3" s="43" t="s">
        <v>17</v>
      </c>
      <c r="Y3" s="43" t="s">
        <v>22</v>
      </c>
      <c r="Z3" s="43" t="s">
        <v>25</v>
      </c>
      <c r="AA3" s="43" t="s">
        <v>32</v>
      </c>
      <c r="AB3" s="43" t="s">
        <v>37</v>
      </c>
      <c r="AC3" s="43" t="s">
        <v>115</v>
      </c>
      <c r="AD3" s="43" t="s">
        <v>378</v>
      </c>
      <c r="AE3" s="43" t="s">
        <v>49</v>
      </c>
      <c r="AF3" s="43" t="s">
        <v>384</v>
      </c>
      <c r="AG3" s="43" t="s">
        <v>385</v>
      </c>
    </row>
    <row r="4" spans="1:34" ht="83.25" customHeight="1" x14ac:dyDescent="0.25">
      <c r="A4" s="33">
        <v>1</v>
      </c>
      <c r="B4" s="27" t="s">
        <v>307</v>
      </c>
      <c r="C4" s="45">
        <v>120</v>
      </c>
      <c r="D4" s="46"/>
      <c r="E4" s="46"/>
      <c r="F4" s="47"/>
      <c r="G4" s="47"/>
      <c r="H4" s="48"/>
      <c r="I4" s="48"/>
      <c r="J4" s="48"/>
      <c r="K4" s="46"/>
      <c r="L4" s="49"/>
      <c r="M4" s="49"/>
      <c r="N4" s="49"/>
      <c r="O4" s="50"/>
      <c r="P4" s="51"/>
      <c r="Q4" s="52"/>
      <c r="R4" s="52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12"/>
    </row>
    <row r="5" spans="1:34" ht="49.5" customHeight="1" x14ac:dyDescent="0.25">
      <c r="A5" s="33">
        <v>2</v>
      </c>
      <c r="B5" s="27" t="s">
        <v>309</v>
      </c>
      <c r="C5" s="45"/>
      <c r="D5" s="46">
        <v>72</v>
      </c>
      <c r="E5" s="46"/>
      <c r="F5" s="47"/>
      <c r="G5" s="47"/>
      <c r="H5" s="48"/>
      <c r="I5" s="48"/>
      <c r="J5" s="48"/>
      <c r="K5" s="46"/>
      <c r="L5" s="49"/>
      <c r="M5" s="49"/>
      <c r="N5" s="49"/>
      <c r="O5" s="50"/>
      <c r="P5" s="51"/>
      <c r="Q5" s="52"/>
      <c r="R5" s="52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12"/>
      <c r="AH5" s="55"/>
    </row>
    <row r="6" spans="1:34" ht="97.5" customHeight="1" x14ac:dyDescent="0.25">
      <c r="A6" s="33">
        <v>3</v>
      </c>
      <c r="B6" s="27" t="s">
        <v>311</v>
      </c>
      <c r="C6" s="45"/>
      <c r="D6" s="46"/>
      <c r="E6" s="46">
        <v>96</v>
      </c>
      <c r="F6" s="47"/>
      <c r="G6" s="47"/>
      <c r="H6" s="48"/>
      <c r="I6" s="48"/>
      <c r="J6" s="48"/>
      <c r="K6" s="46"/>
      <c r="L6" s="49"/>
      <c r="M6" s="49"/>
      <c r="N6" s="49"/>
      <c r="O6" s="50"/>
      <c r="P6" s="51"/>
      <c r="Q6" s="52"/>
      <c r="R6" s="52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12"/>
    </row>
    <row r="7" spans="1:34" ht="100.5" customHeight="1" x14ac:dyDescent="0.25">
      <c r="A7" s="33">
        <v>4</v>
      </c>
      <c r="B7" s="27" t="s">
        <v>313</v>
      </c>
      <c r="C7" s="45"/>
      <c r="D7" s="46"/>
      <c r="E7" s="46"/>
      <c r="F7" s="47">
        <v>96</v>
      </c>
      <c r="G7" s="47"/>
      <c r="H7" s="48"/>
      <c r="I7" s="48"/>
      <c r="J7" s="48"/>
      <c r="K7" s="46"/>
      <c r="L7" s="49"/>
      <c r="M7" s="49"/>
      <c r="N7" s="49"/>
      <c r="O7" s="50"/>
      <c r="P7" s="51"/>
      <c r="Q7" s="52"/>
      <c r="R7" s="52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12"/>
    </row>
    <row r="8" spans="1:34" ht="68.25" customHeight="1" x14ac:dyDescent="0.25">
      <c r="A8" s="33">
        <v>5</v>
      </c>
      <c r="B8" s="29" t="s">
        <v>315</v>
      </c>
      <c r="C8" s="45"/>
      <c r="D8" s="46"/>
      <c r="E8" s="46"/>
      <c r="F8" s="47"/>
      <c r="G8" s="47">
        <v>96</v>
      </c>
      <c r="H8" s="48"/>
      <c r="I8" s="48"/>
      <c r="J8" s="48"/>
      <c r="K8" s="46"/>
      <c r="L8" s="49"/>
      <c r="M8" s="49"/>
      <c r="N8" s="49"/>
      <c r="O8" s="50"/>
      <c r="P8" s="51"/>
      <c r="Q8" s="52"/>
      <c r="R8" s="52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12"/>
    </row>
    <row r="9" spans="1:34" ht="82.5" customHeight="1" x14ac:dyDescent="0.25">
      <c r="A9" s="33">
        <v>6</v>
      </c>
      <c r="B9" s="27" t="s">
        <v>317</v>
      </c>
      <c r="C9" s="45"/>
      <c r="D9" s="46"/>
      <c r="E9" s="46"/>
      <c r="F9" s="47"/>
      <c r="G9" s="47"/>
      <c r="H9" s="48">
        <v>96</v>
      </c>
      <c r="I9" s="48"/>
      <c r="J9" s="48"/>
      <c r="K9" s="46"/>
      <c r="L9" s="49"/>
      <c r="M9" s="49"/>
      <c r="N9" s="49"/>
      <c r="O9" s="50"/>
      <c r="P9" s="51"/>
      <c r="Q9" s="52"/>
      <c r="R9" s="52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12"/>
    </row>
    <row r="10" spans="1:34" ht="67.5" customHeight="1" x14ac:dyDescent="0.25">
      <c r="A10" s="33">
        <v>7</v>
      </c>
      <c r="B10" s="27" t="s">
        <v>319</v>
      </c>
      <c r="C10" s="45"/>
      <c r="D10" s="46"/>
      <c r="E10" s="46"/>
      <c r="F10" s="47"/>
      <c r="G10" s="47"/>
      <c r="H10" s="48"/>
      <c r="I10" s="48">
        <v>72</v>
      </c>
      <c r="J10" s="48"/>
      <c r="K10" s="46"/>
      <c r="L10" s="49"/>
      <c r="M10" s="49"/>
      <c r="N10" s="49"/>
      <c r="O10" s="50"/>
      <c r="P10" s="51"/>
      <c r="Q10" s="52"/>
      <c r="R10" s="52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12"/>
    </row>
    <row r="11" spans="1:34" ht="49.5" customHeight="1" x14ac:dyDescent="0.25">
      <c r="A11" s="33">
        <v>8</v>
      </c>
      <c r="B11" s="27" t="s">
        <v>321</v>
      </c>
      <c r="C11" s="45"/>
      <c r="D11" s="46"/>
      <c r="E11" s="46"/>
      <c r="F11" s="47"/>
      <c r="G11" s="47"/>
      <c r="H11" s="48"/>
      <c r="I11" s="48"/>
      <c r="J11" s="48">
        <v>120</v>
      </c>
      <c r="K11" s="46"/>
      <c r="L11" s="49"/>
      <c r="M11" s="49"/>
      <c r="N11" s="49"/>
      <c r="O11" s="50"/>
      <c r="P11" s="51"/>
      <c r="Q11" s="52"/>
      <c r="R11" s="52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12"/>
    </row>
    <row r="12" spans="1:34" ht="64.5" customHeight="1" x14ac:dyDescent="0.25">
      <c r="A12" s="33">
        <v>9</v>
      </c>
      <c r="B12" s="27" t="s">
        <v>323</v>
      </c>
      <c r="C12" s="45"/>
      <c r="D12" s="46"/>
      <c r="E12" s="46"/>
      <c r="F12" s="47"/>
      <c r="G12" s="47"/>
      <c r="H12" s="48"/>
      <c r="I12" s="48"/>
      <c r="J12" s="48"/>
      <c r="K12" s="46">
        <v>96</v>
      </c>
      <c r="L12" s="49"/>
      <c r="M12" s="49"/>
      <c r="N12" s="49"/>
      <c r="O12" s="50"/>
      <c r="P12" s="51"/>
      <c r="Q12" s="52"/>
      <c r="R12" s="52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12"/>
    </row>
    <row r="13" spans="1:34" ht="81.75" customHeight="1" x14ac:dyDescent="0.25">
      <c r="A13" s="33">
        <v>10</v>
      </c>
      <c r="B13" s="27" t="s">
        <v>325</v>
      </c>
      <c r="C13" s="45"/>
      <c r="D13" s="46"/>
      <c r="E13" s="46"/>
      <c r="F13" s="47"/>
      <c r="G13" s="47"/>
      <c r="H13" s="48"/>
      <c r="I13" s="48"/>
      <c r="J13" s="48"/>
      <c r="K13" s="46"/>
      <c r="L13" s="49">
        <v>96</v>
      </c>
      <c r="M13" s="49"/>
      <c r="N13" s="49"/>
      <c r="O13" s="50"/>
      <c r="P13" s="51"/>
      <c r="Q13" s="52"/>
      <c r="R13" s="52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12"/>
    </row>
    <row r="14" spans="1:34" ht="96.75" customHeight="1" x14ac:dyDescent="0.25">
      <c r="A14" s="33">
        <v>11</v>
      </c>
      <c r="B14" s="27" t="s">
        <v>327</v>
      </c>
      <c r="C14" s="45"/>
      <c r="D14" s="46"/>
      <c r="E14" s="46"/>
      <c r="F14" s="47"/>
      <c r="G14" s="47"/>
      <c r="H14" s="48"/>
      <c r="I14" s="48"/>
      <c r="J14" s="48"/>
      <c r="K14" s="46"/>
      <c r="L14" s="49"/>
      <c r="M14" s="49">
        <v>72</v>
      </c>
      <c r="N14" s="49"/>
      <c r="O14" s="50"/>
      <c r="P14" s="51"/>
      <c r="Q14" s="52"/>
      <c r="R14" s="52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12"/>
    </row>
    <row r="15" spans="1:34" ht="114" customHeight="1" x14ac:dyDescent="0.25">
      <c r="A15" s="33">
        <v>12</v>
      </c>
      <c r="B15" s="29" t="s">
        <v>329</v>
      </c>
      <c r="C15" s="45"/>
      <c r="D15" s="46"/>
      <c r="E15" s="46"/>
      <c r="F15" s="47"/>
      <c r="G15" s="47"/>
      <c r="H15" s="48"/>
      <c r="I15" s="48"/>
      <c r="J15" s="48"/>
      <c r="K15" s="46"/>
      <c r="L15" s="49"/>
      <c r="M15" s="49"/>
      <c r="N15" s="49">
        <v>72</v>
      </c>
      <c r="O15" s="50"/>
      <c r="P15" s="51"/>
      <c r="Q15" s="52"/>
      <c r="R15" s="52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12"/>
    </row>
    <row r="16" spans="1:34" ht="65.25" customHeight="1" x14ac:dyDescent="0.25">
      <c r="A16" s="33">
        <v>13</v>
      </c>
      <c r="B16" s="29" t="s">
        <v>331</v>
      </c>
      <c r="C16" s="45"/>
      <c r="D16" s="46"/>
      <c r="E16" s="46"/>
      <c r="F16" s="47"/>
      <c r="G16" s="47"/>
      <c r="H16" s="48"/>
      <c r="I16" s="48"/>
      <c r="J16" s="48"/>
      <c r="K16" s="46"/>
      <c r="L16" s="49"/>
      <c r="M16" s="49"/>
      <c r="N16" s="49"/>
      <c r="O16" s="50">
        <v>72</v>
      </c>
      <c r="P16" s="51"/>
      <c r="Q16" s="52"/>
      <c r="R16" s="52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12"/>
    </row>
    <row r="17" spans="1:33" ht="81.75" customHeight="1" x14ac:dyDescent="0.25">
      <c r="A17" s="33">
        <v>14</v>
      </c>
      <c r="B17" s="29" t="s">
        <v>333</v>
      </c>
      <c r="C17" s="45"/>
      <c r="D17" s="46"/>
      <c r="E17" s="46"/>
      <c r="F17" s="47"/>
      <c r="G17" s="47"/>
      <c r="H17" s="48"/>
      <c r="I17" s="48"/>
      <c r="J17" s="48"/>
      <c r="K17" s="46"/>
      <c r="L17" s="49"/>
      <c r="M17" s="49"/>
      <c r="N17" s="49"/>
      <c r="O17" s="50"/>
      <c r="P17" s="51">
        <v>72</v>
      </c>
      <c r="Q17" s="52"/>
      <c r="R17" s="52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12"/>
    </row>
    <row r="18" spans="1:33" ht="51" customHeight="1" x14ac:dyDescent="0.25">
      <c r="A18" s="33">
        <v>15</v>
      </c>
      <c r="B18" s="30" t="s">
        <v>222</v>
      </c>
      <c r="C18" s="45"/>
      <c r="D18" s="46"/>
      <c r="E18" s="46"/>
      <c r="F18" s="47"/>
      <c r="G18" s="47"/>
      <c r="H18" s="48"/>
      <c r="I18" s="48"/>
      <c r="J18" s="48"/>
      <c r="K18" s="46"/>
      <c r="L18" s="49"/>
      <c r="M18" s="49"/>
      <c r="N18" s="49"/>
      <c r="O18" s="50"/>
      <c r="P18" s="51"/>
      <c r="Q18" s="52">
        <v>96</v>
      </c>
      <c r="R18" s="52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12"/>
    </row>
    <row r="19" spans="1:33" ht="35.25" customHeight="1" x14ac:dyDescent="0.25">
      <c r="A19" s="33">
        <v>16</v>
      </c>
      <c r="B19" s="30" t="s">
        <v>336</v>
      </c>
      <c r="C19" s="45"/>
      <c r="D19" s="46"/>
      <c r="E19" s="46"/>
      <c r="F19" s="47"/>
      <c r="G19" s="47"/>
      <c r="H19" s="48"/>
      <c r="I19" s="48"/>
      <c r="J19" s="48"/>
      <c r="K19" s="46"/>
      <c r="L19" s="49"/>
      <c r="M19" s="49"/>
      <c r="N19" s="49"/>
      <c r="O19" s="50"/>
      <c r="P19" s="51"/>
      <c r="Q19" s="52"/>
      <c r="R19" s="52">
        <v>24</v>
      </c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12"/>
    </row>
    <row r="20" spans="1:33" s="9" customFormat="1" ht="33" customHeight="1" x14ac:dyDescent="0.3">
      <c r="A20" s="33">
        <v>17</v>
      </c>
      <c r="B20" s="51" t="s">
        <v>338</v>
      </c>
      <c r="C20" s="44"/>
      <c r="D20" s="44"/>
      <c r="E20" s="44"/>
      <c r="F20" s="44"/>
      <c r="G20" s="4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 t="s">
        <v>364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3"/>
    </row>
    <row r="21" spans="1:33" s="9" customFormat="1" ht="33" customHeight="1" x14ac:dyDescent="0.3">
      <c r="A21" s="33">
        <v>18</v>
      </c>
      <c r="B21" s="51" t="s">
        <v>340</v>
      </c>
      <c r="C21" s="44"/>
      <c r="D21" s="44"/>
      <c r="E21" s="44"/>
      <c r="F21" s="44"/>
      <c r="G21" s="51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 t="s">
        <v>365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3"/>
    </row>
    <row r="22" spans="1:33" s="9" customFormat="1" ht="33" customHeight="1" x14ac:dyDescent="0.3">
      <c r="A22" s="33">
        <v>19</v>
      </c>
      <c r="B22" s="51" t="s">
        <v>341</v>
      </c>
      <c r="C22" s="44"/>
      <c r="D22" s="44"/>
      <c r="E22" s="44"/>
      <c r="F22" s="44"/>
      <c r="G22" s="82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 t="s">
        <v>366</v>
      </c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3"/>
    </row>
    <row r="23" spans="1:33" s="9" customFormat="1" ht="33" customHeight="1" x14ac:dyDescent="0.3">
      <c r="A23" s="33">
        <v>20</v>
      </c>
      <c r="B23" s="51" t="s">
        <v>344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 t="s">
        <v>367</v>
      </c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3"/>
    </row>
    <row r="24" spans="1:33" s="9" customFormat="1" ht="33" customHeight="1" x14ac:dyDescent="0.3">
      <c r="A24" s="33">
        <v>21</v>
      </c>
      <c r="B24" s="51" t="s">
        <v>346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 t="s">
        <v>364</v>
      </c>
      <c r="X24" s="44"/>
      <c r="Y24" s="44"/>
      <c r="Z24" s="44"/>
      <c r="AA24" s="44"/>
      <c r="AB24" s="44"/>
      <c r="AC24" s="44"/>
      <c r="AD24" s="44"/>
      <c r="AE24" s="44"/>
      <c r="AF24" s="44"/>
      <c r="AG24" s="53"/>
    </row>
    <row r="25" spans="1:33" s="9" customFormat="1" ht="33" customHeight="1" x14ac:dyDescent="0.3">
      <c r="A25" s="33">
        <v>22</v>
      </c>
      <c r="B25" s="51" t="s">
        <v>348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 t="s">
        <v>368</v>
      </c>
      <c r="Y25" s="44"/>
      <c r="Z25" s="44"/>
      <c r="AA25" s="44"/>
      <c r="AB25" s="44"/>
      <c r="AC25" s="44"/>
      <c r="AD25" s="44"/>
      <c r="AE25" s="44"/>
      <c r="AF25" s="44"/>
      <c r="AG25" s="53"/>
    </row>
    <row r="26" spans="1:33" s="9" customFormat="1" ht="33" customHeight="1" x14ac:dyDescent="0.3">
      <c r="A26" s="33">
        <v>23</v>
      </c>
      <c r="B26" s="51" t="s">
        <v>357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 t="s">
        <v>394</v>
      </c>
      <c r="Z26" s="44"/>
      <c r="AA26" s="44"/>
      <c r="AB26" s="44"/>
      <c r="AC26" s="44"/>
      <c r="AD26" s="44"/>
      <c r="AE26" s="44"/>
      <c r="AF26" s="44"/>
      <c r="AG26" s="53"/>
    </row>
    <row r="27" spans="1:33" s="9" customFormat="1" ht="33" customHeight="1" x14ac:dyDescent="0.3">
      <c r="A27" s="33">
        <v>24</v>
      </c>
      <c r="B27" s="51" t="s">
        <v>358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 t="s">
        <v>369</v>
      </c>
      <c r="AA27" s="44"/>
      <c r="AB27" s="44"/>
      <c r="AC27" s="44"/>
      <c r="AD27" s="44"/>
      <c r="AE27" s="44"/>
      <c r="AF27" s="44"/>
      <c r="AG27" s="53"/>
    </row>
    <row r="28" spans="1:33" s="9" customFormat="1" ht="33" customHeight="1" x14ac:dyDescent="0.3">
      <c r="A28" s="33">
        <v>25</v>
      </c>
      <c r="B28" s="51" t="s">
        <v>359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 t="s">
        <v>369</v>
      </c>
      <c r="AB28" s="44"/>
      <c r="AC28" s="44"/>
      <c r="AD28" s="44"/>
      <c r="AE28" s="44"/>
      <c r="AF28" s="44"/>
      <c r="AG28" s="53"/>
    </row>
    <row r="29" spans="1:33" s="9" customFormat="1" ht="33" customHeight="1" x14ac:dyDescent="0.3">
      <c r="A29" s="33">
        <v>26</v>
      </c>
      <c r="B29" s="51" t="s">
        <v>360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 t="s">
        <v>370</v>
      </c>
      <c r="AC29" s="44"/>
      <c r="AD29" s="44"/>
      <c r="AE29" s="44"/>
      <c r="AF29" s="44"/>
      <c r="AG29" s="53"/>
    </row>
    <row r="30" spans="1:33" s="9" customFormat="1" ht="33" customHeight="1" x14ac:dyDescent="0.3">
      <c r="A30" s="33">
        <v>27</v>
      </c>
      <c r="B30" s="51" t="s">
        <v>361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 t="s">
        <v>124</v>
      </c>
      <c r="AD30" s="44"/>
      <c r="AE30" s="44"/>
      <c r="AF30" s="44"/>
      <c r="AG30" s="53"/>
    </row>
    <row r="31" spans="1:33" s="9" customFormat="1" ht="33" customHeight="1" x14ac:dyDescent="0.3">
      <c r="A31" s="33">
        <v>28</v>
      </c>
      <c r="B31" s="51" t="s">
        <v>375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53">
        <v>216</v>
      </c>
      <c r="AE31" s="53"/>
      <c r="AF31" s="53"/>
      <c r="AG31" s="53"/>
    </row>
    <row r="32" spans="1:33" s="9" customFormat="1" ht="33" customHeight="1" x14ac:dyDescent="0.3">
      <c r="A32" s="33">
        <v>29</v>
      </c>
      <c r="B32" s="51" t="s">
        <v>363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53"/>
      <c r="AE32" s="44" t="s">
        <v>371</v>
      </c>
      <c r="AF32" s="44"/>
      <c r="AG32" s="44"/>
    </row>
    <row r="33" spans="1:33" s="9" customFormat="1" ht="33" customHeight="1" x14ac:dyDescent="0.3">
      <c r="A33" s="33">
        <v>30</v>
      </c>
      <c r="B33" s="51" t="s">
        <v>362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53"/>
      <c r="AE33" s="44"/>
      <c r="AF33" s="44" t="s">
        <v>285</v>
      </c>
      <c r="AG33" s="44"/>
    </row>
    <row r="34" spans="1:33" s="9" customFormat="1" ht="33" customHeight="1" x14ac:dyDescent="0.3">
      <c r="A34" s="54">
        <v>31</v>
      </c>
      <c r="B34" s="51" t="s">
        <v>376</v>
      </c>
      <c r="C34" s="53"/>
      <c r="D34" s="53"/>
      <c r="E34" s="53"/>
      <c r="F34" s="53"/>
      <c r="G34" s="15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44"/>
      <c r="AF34" s="44"/>
      <c r="AG34" s="44" t="s">
        <v>372</v>
      </c>
    </row>
    <row r="35" spans="1:33" ht="18" x14ac:dyDescent="0.25">
      <c r="A35" s="17"/>
      <c r="G35" s="56"/>
    </row>
  </sheetData>
  <mergeCells count="1">
    <mergeCell ref="A1:L1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32"/>
  <sheetViews>
    <sheetView zoomScale="120" zoomScaleNormal="120" workbookViewId="0">
      <selection activeCell="Y17" sqref="Y17"/>
    </sheetView>
  </sheetViews>
  <sheetFormatPr defaultColWidth="2.6640625" defaultRowHeight="10.199999999999999" x14ac:dyDescent="0.2"/>
  <cols>
    <col min="1" max="1" width="1.5546875" style="83" customWidth="1"/>
    <col min="2" max="2" width="3.6640625" style="83" customWidth="1"/>
    <col min="3" max="43" width="2.33203125" style="83" customWidth="1"/>
    <col min="44" max="44" width="2.88671875" style="83" customWidth="1"/>
    <col min="45" max="54" width="2.33203125" style="83" customWidth="1"/>
    <col min="55" max="57" width="2.44140625" style="83" customWidth="1"/>
    <col min="58" max="58" width="1.33203125" style="83" customWidth="1"/>
    <col min="59" max="59" width="1.5546875" style="83" hidden="1" customWidth="1"/>
    <col min="60" max="60" width="2.44140625" style="83" hidden="1" customWidth="1"/>
    <col min="61" max="62" width="2.44140625" style="83" customWidth="1"/>
    <col min="63" max="16384" width="2.6640625" style="83"/>
  </cols>
  <sheetData>
    <row r="1" spans="1:67" ht="15" customHeight="1" x14ac:dyDescent="0.25">
      <c r="L1" s="84"/>
      <c r="M1" s="84"/>
      <c r="N1" s="85" t="s">
        <v>409</v>
      </c>
      <c r="O1" s="84"/>
      <c r="P1" s="84"/>
      <c r="Q1" s="84"/>
      <c r="R1" s="84"/>
      <c r="S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7"/>
      <c r="AW1" s="87"/>
      <c r="AX1" s="87"/>
      <c r="AY1" s="87"/>
      <c r="AZ1" s="87"/>
      <c r="BA1" s="87"/>
      <c r="BB1" s="87"/>
      <c r="BC1" s="87"/>
      <c r="BD1" s="87"/>
    </row>
    <row r="2" spans="1:67" ht="12.75" customHeight="1" x14ac:dyDescent="0.25">
      <c r="B2" s="86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657"/>
      <c r="AI2" s="657"/>
      <c r="AJ2" s="657"/>
      <c r="AK2" s="657"/>
      <c r="AL2" s="657"/>
      <c r="AM2" s="657"/>
      <c r="AN2" s="657"/>
      <c r="AO2" s="657"/>
      <c r="AP2" s="657"/>
      <c r="AQ2" s="657"/>
      <c r="AR2" s="657"/>
      <c r="AS2" s="657"/>
      <c r="AT2" s="657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</row>
    <row r="3" spans="1:67" ht="29.25" customHeight="1" x14ac:dyDescent="0.25">
      <c r="A3" s="89"/>
      <c r="B3" s="90" t="s">
        <v>410</v>
      </c>
      <c r="C3" s="658" t="s">
        <v>411</v>
      </c>
      <c r="D3" s="658"/>
      <c r="E3" s="658"/>
      <c r="F3" s="658"/>
      <c r="G3" s="658"/>
      <c r="H3" s="658" t="s">
        <v>412</v>
      </c>
      <c r="I3" s="658"/>
      <c r="J3" s="658"/>
      <c r="K3" s="658"/>
      <c r="L3" s="658" t="s">
        <v>413</v>
      </c>
      <c r="M3" s="658"/>
      <c r="N3" s="658"/>
      <c r="O3" s="658"/>
      <c r="P3" s="658" t="s">
        <v>414</v>
      </c>
      <c r="Q3" s="658"/>
      <c r="R3" s="658"/>
      <c r="S3" s="658"/>
      <c r="T3" s="658"/>
      <c r="U3" s="658" t="s">
        <v>415</v>
      </c>
      <c r="V3" s="658"/>
      <c r="W3" s="658"/>
      <c r="X3" s="658"/>
      <c r="Y3" s="658"/>
      <c r="Z3" s="658" t="s">
        <v>416</v>
      </c>
      <c r="AA3" s="658"/>
      <c r="AB3" s="658"/>
      <c r="AC3" s="658"/>
      <c r="AD3" s="658" t="s">
        <v>417</v>
      </c>
      <c r="AE3" s="658"/>
      <c r="AF3" s="658"/>
      <c r="AG3" s="658"/>
      <c r="AH3" s="658"/>
      <c r="AI3" s="659" t="s">
        <v>418</v>
      </c>
      <c r="AJ3" s="660"/>
      <c r="AK3" s="660"/>
      <c r="AL3" s="661"/>
      <c r="AM3" s="658" t="s">
        <v>419</v>
      </c>
      <c r="AN3" s="658"/>
      <c r="AO3" s="658"/>
      <c r="AP3" s="658"/>
      <c r="AQ3" s="658" t="s">
        <v>420</v>
      </c>
      <c r="AR3" s="658"/>
      <c r="AS3" s="658"/>
      <c r="AT3" s="658"/>
      <c r="AU3" s="658" t="s">
        <v>421</v>
      </c>
      <c r="AV3" s="658"/>
      <c r="AW3" s="658"/>
      <c r="AX3" s="658"/>
      <c r="AY3" s="662" t="s">
        <v>422</v>
      </c>
      <c r="AZ3" s="663"/>
      <c r="BA3" s="663"/>
      <c r="BB3" s="663"/>
      <c r="BC3" s="91"/>
      <c r="BD3" s="91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</row>
    <row r="4" spans="1:67" s="95" customFormat="1" ht="21.75" customHeight="1" x14ac:dyDescent="0.3">
      <c r="A4" s="92"/>
      <c r="B4" s="93" t="s">
        <v>423</v>
      </c>
      <c r="C4" s="93">
        <v>1</v>
      </c>
      <c r="D4" s="93">
        <v>2</v>
      </c>
      <c r="E4" s="93">
        <v>3</v>
      </c>
      <c r="F4" s="93">
        <v>4</v>
      </c>
      <c r="G4" s="93">
        <v>5</v>
      </c>
      <c r="H4" s="93">
        <v>6</v>
      </c>
      <c r="I4" s="93">
        <v>7</v>
      </c>
      <c r="J4" s="93">
        <v>8</v>
      </c>
      <c r="K4" s="93">
        <v>9</v>
      </c>
      <c r="L4" s="93">
        <v>10</v>
      </c>
      <c r="M4" s="93">
        <v>11</v>
      </c>
      <c r="N4" s="93">
        <v>12</v>
      </c>
      <c r="O4" s="93">
        <v>13</v>
      </c>
      <c r="P4" s="93">
        <v>14</v>
      </c>
      <c r="Q4" s="93">
        <v>15</v>
      </c>
      <c r="R4" s="93">
        <v>16</v>
      </c>
      <c r="S4" s="93">
        <v>17</v>
      </c>
      <c r="T4" s="93">
        <v>18</v>
      </c>
      <c r="U4" s="93">
        <v>19</v>
      </c>
      <c r="V4" s="93">
        <v>20</v>
      </c>
      <c r="W4" s="93">
        <v>21</v>
      </c>
      <c r="X4" s="93">
        <v>22</v>
      </c>
      <c r="Y4" s="93">
        <v>23</v>
      </c>
      <c r="Z4" s="93">
        <v>24</v>
      </c>
      <c r="AA4" s="93">
        <v>25</v>
      </c>
      <c r="AB4" s="93">
        <v>26</v>
      </c>
      <c r="AC4" s="93">
        <v>27</v>
      </c>
      <c r="AD4" s="93">
        <v>28</v>
      </c>
      <c r="AE4" s="93">
        <v>29</v>
      </c>
      <c r="AF4" s="93">
        <v>30</v>
      </c>
      <c r="AG4" s="93">
        <v>31</v>
      </c>
      <c r="AH4" s="93">
        <v>32</v>
      </c>
      <c r="AI4" s="93">
        <v>33</v>
      </c>
      <c r="AJ4" s="93">
        <v>34</v>
      </c>
      <c r="AK4" s="93">
        <v>35</v>
      </c>
      <c r="AL4" s="93">
        <v>36</v>
      </c>
      <c r="AM4" s="93">
        <v>37</v>
      </c>
      <c r="AN4" s="93">
        <v>38</v>
      </c>
      <c r="AO4" s="93">
        <v>39</v>
      </c>
      <c r="AP4" s="93">
        <v>40</v>
      </c>
      <c r="AQ4" s="93">
        <v>41</v>
      </c>
      <c r="AR4" s="93">
        <v>42</v>
      </c>
      <c r="AS4" s="93">
        <v>43</v>
      </c>
      <c r="AT4" s="93">
        <v>44</v>
      </c>
      <c r="AU4" s="93">
        <v>45</v>
      </c>
      <c r="AV4" s="93">
        <v>46</v>
      </c>
      <c r="AW4" s="93">
        <v>47</v>
      </c>
      <c r="AX4" s="93">
        <v>48</v>
      </c>
      <c r="AY4" s="93">
        <v>49</v>
      </c>
      <c r="AZ4" s="93">
        <v>50</v>
      </c>
      <c r="BA4" s="93">
        <v>51</v>
      </c>
      <c r="BB4" s="93">
        <v>52</v>
      </c>
      <c r="BC4" s="94"/>
      <c r="BD4" s="94"/>
    </row>
    <row r="5" spans="1:67" s="95" customFormat="1" ht="21.75" customHeight="1" x14ac:dyDescent="0.3">
      <c r="A5" s="92"/>
      <c r="B5" s="96" t="s">
        <v>424</v>
      </c>
      <c r="C5" s="345" t="s">
        <v>435</v>
      </c>
      <c r="D5" s="345" t="s">
        <v>435</v>
      </c>
      <c r="E5" s="345" t="s">
        <v>435</v>
      </c>
      <c r="F5" s="345" t="s">
        <v>435</v>
      </c>
      <c r="G5" s="345" t="s">
        <v>435</v>
      </c>
      <c r="H5" s="345" t="s">
        <v>435</v>
      </c>
      <c r="I5" s="345" t="s">
        <v>435</v>
      </c>
      <c r="J5" s="345" t="s">
        <v>435</v>
      </c>
      <c r="K5" s="345" t="s">
        <v>435</v>
      </c>
      <c r="L5" s="345" t="s">
        <v>435</v>
      </c>
      <c r="M5" s="345" t="s">
        <v>435</v>
      </c>
      <c r="N5" s="345" t="s">
        <v>435</v>
      </c>
      <c r="O5" s="345" t="s">
        <v>435</v>
      </c>
      <c r="P5" s="345" t="s">
        <v>435</v>
      </c>
      <c r="Q5" s="345" t="s">
        <v>435</v>
      </c>
      <c r="R5" s="345" t="s">
        <v>435</v>
      </c>
      <c r="S5" s="345" t="s">
        <v>435</v>
      </c>
      <c r="T5" s="345" t="s">
        <v>435</v>
      </c>
      <c r="U5" s="97" t="s">
        <v>425</v>
      </c>
      <c r="V5" s="96" t="s">
        <v>426</v>
      </c>
      <c r="W5" s="96" t="s">
        <v>426</v>
      </c>
      <c r="X5" s="345" t="s">
        <v>435</v>
      </c>
      <c r="Y5" s="345" t="s">
        <v>435</v>
      </c>
      <c r="Z5" s="345" t="s">
        <v>435</v>
      </c>
      <c r="AA5" s="345" t="s">
        <v>435</v>
      </c>
      <c r="AB5" s="345" t="s">
        <v>435</v>
      </c>
      <c r="AC5" s="345" t="s">
        <v>435</v>
      </c>
      <c r="AD5" s="345" t="s">
        <v>435</v>
      </c>
      <c r="AE5" s="345" t="s">
        <v>435</v>
      </c>
      <c r="AF5" s="345" t="s">
        <v>435</v>
      </c>
      <c r="AG5" s="345" t="s">
        <v>435</v>
      </c>
      <c r="AH5" s="345" t="s">
        <v>435</v>
      </c>
      <c r="AI5" s="345" t="s">
        <v>435</v>
      </c>
      <c r="AJ5" s="345" t="s">
        <v>435</v>
      </c>
      <c r="AK5" s="345" t="s">
        <v>435</v>
      </c>
      <c r="AL5" s="345" t="s">
        <v>435</v>
      </c>
      <c r="AM5" s="345" t="s">
        <v>435</v>
      </c>
      <c r="AN5" s="345" t="s">
        <v>435</v>
      </c>
      <c r="AO5" s="98" t="s">
        <v>427</v>
      </c>
      <c r="AP5" s="345" t="s">
        <v>435</v>
      </c>
      <c r="AQ5" s="345" t="s">
        <v>435</v>
      </c>
      <c r="AR5" s="99" t="s">
        <v>428</v>
      </c>
      <c r="AS5" s="99" t="s">
        <v>425</v>
      </c>
      <c r="AT5" s="96" t="s">
        <v>426</v>
      </c>
      <c r="AU5" s="96" t="s">
        <v>426</v>
      </c>
      <c r="AV5" s="96" t="s">
        <v>426</v>
      </c>
      <c r="AW5" s="96" t="s">
        <v>426</v>
      </c>
      <c r="AX5" s="96" t="s">
        <v>426</v>
      </c>
      <c r="AY5" s="96" t="s">
        <v>426</v>
      </c>
      <c r="AZ5" s="96" t="s">
        <v>426</v>
      </c>
      <c r="BA5" s="96" t="s">
        <v>426</v>
      </c>
      <c r="BB5" s="96" t="s">
        <v>426</v>
      </c>
      <c r="BC5" s="94"/>
      <c r="BD5" s="94"/>
    </row>
    <row r="6" spans="1:67" s="95" customFormat="1" ht="21.75" customHeight="1" x14ac:dyDescent="0.3">
      <c r="A6" s="92"/>
      <c r="B6" s="96" t="s">
        <v>429</v>
      </c>
      <c r="C6" s="98" t="s">
        <v>430</v>
      </c>
      <c r="D6" s="356" t="s">
        <v>801</v>
      </c>
      <c r="E6" s="356" t="s">
        <v>801</v>
      </c>
      <c r="F6" s="356" t="s">
        <v>801</v>
      </c>
      <c r="G6" s="356" t="s">
        <v>801</v>
      </c>
      <c r="H6" s="356" t="s">
        <v>801</v>
      </c>
      <c r="I6" s="356" t="s">
        <v>801</v>
      </c>
      <c r="J6" s="356" t="s">
        <v>801</v>
      </c>
      <c r="K6" s="356" t="s">
        <v>801</v>
      </c>
      <c r="L6" s="356" t="s">
        <v>801</v>
      </c>
      <c r="M6" s="356" t="s">
        <v>801</v>
      </c>
      <c r="N6" s="356" t="s">
        <v>801</v>
      </c>
      <c r="O6" s="356" t="s">
        <v>801</v>
      </c>
      <c r="P6" s="356" t="s">
        <v>801</v>
      </c>
      <c r="Q6" s="356" t="s">
        <v>801</v>
      </c>
      <c r="R6" s="356" t="s">
        <v>801</v>
      </c>
      <c r="S6" s="356" t="s">
        <v>801</v>
      </c>
      <c r="T6" s="356" t="s">
        <v>801</v>
      </c>
      <c r="U6" s="356" t="s">
        <v>801</v>
      </c>
      <c r="V6" s="356" t="s">
        <v>801</v>
      </c>
      <c r="W6" s="356" t="s">
        <v>801</v>
      </c>
      <c r="X6" s="356" t="s">
        <v>801</v>
      </c>
      <c r="Y6" s="96" t="s">
        <v>425</v>
      </c>
      <c r="Z6" s="96" t="s">
        <v>426</v>
      </c>
      <c r="AA6" s="96" t="s">
        <v>426</v>
      </c>
      <c r="AB6" s="356" t="s">
        <v>801</v>
      </c>
      <c r="AC6" s="356" t="s">
        <v>801</v>
      </c>
      <c r="AD6" s="356" t="s">
        <v>801</v>
      </c>
      <c r="AE6" s="356" t="s">
        <v>801</v>
      </c>
      <c r="AF6" s="356" t="s">
        <v>801</v>
      </c>
      <c r="AG6" s="356" t="s">
        <v>801</v>
      </c>
      <c r="AH6" s="356" t="s">
        <v>801</v>
      </c>
      <c r="AI6" s="356" t="s">
        <v>801</v>
      </c>
      <c r="AJ6" s="356" t="s">
        <v>801</v>
      </c>
      <c r="AK6" s="356" t="s">
        <v>801</v>
      </c>
      <c r="AL6" s="356" t="s">
        <v>801</v>
      </c>
      <c r="AM6" s="356" t="s">
        <v>801</v>
      </c>
      <c r="AN6" s="356" t="s">
        <v>801</v>
      </c>
      <c r="AO6" s="356" t="s">
        <v>801</v>
      </c>
      <c r="AP6" s="356" t="s">
        <v>801</v>
      </c>
      <c r="AQ6" s="356" t="s">
        <v>801</v>
      </c>
      <c r="AR6" s="99" t="s">
        <v>428</v>
      </c>
      <c r="AS6" s="97" t="s">
        <v>425</v>
      </c>
      <c r="AT6" s="99" t="s">
        <v>426</v>
      </c>
      <c r="AU6" s="96" t="s">
        <v>426</v>
      </c>
      <c r="AV6" s="96" t="s">
        <v>426</v>
      </c>
      <c r="AW6" s="96" t="s">
        <v>426</v>
      </c>
      <c r="AX6" s="96" t="s">
        <v>426</v>
      </c>
      <c r="AY6" s="96" t="s">
        <v>426</v>
      </c>
      <c r="AZ6" s="96" t="s">
        <v>426</v>
      </c>
      <c r="BA6" s="96" t="s">
        <v>426</v>
      </c>
      <c r="BB6" s="96" t="s">
        <v>426</v>
      </c>
      <c r="BD6" s="94"/>
    </row>
    <row r="7" spans="1:67" s="95" customFormat="1" ht="21.75" customHeight="1" x14ac:dyDescent="0.3">
      <c r="A7" s="92"/>
      <c r="B7" s="96" t="s">
        <v>431</v>
      </c>
      <c r="C7" s="356" t="s">
        <v>801</v>
      </c>
      <c r="D7" s="356" t="s">
        <v>801</v>
      </c>
      <c r="E7" s="356" t="s">
        <v>801</v>
      </c>
      <c r="F7" s="356" t="s">
        <v>801</v>
      </c>
      <c r="G7" s="356" t="s">
        <v>801</v>
      </c>
      <c r="H7" s="356" t="s">
        <v>801</v>
      </c>
      <c r="I7" s="356" t="s">
        <v>801</v>
      </c>
      <c r="J7" s="356" t="s">
        <v>801</v>
      </c>
      <c r="K7" s="356" t="s">
        <v>801</v>
      </c>
      <c r="L7" s="356" t="s">
        <v>801</v>
      </c>
      <c r="M7" s="356" t="s">
        <v>801</v>
      </c>
      <c r="N7" s="356" t="s">
        <v>801</v>
      </c>
      <c r="O7" s="356" t="s">
        <v>801</v>
      </c>
      <c r="P7" s="356" t="s">
        <v>801</v>
      </c>
      <c r="Q7" s="356" t="s">
        <v>801</v>
      </c>
      <c r="R7" s="356" t="s">
        <v>801</v>
      </c>
      <c r="S7" s="356" t="s">
        <v>801</v>
      </c>
      <c r="T7" s="356" t="s">
        <v>801</v>
      </c>
      <c r="U7" s="356" t="s">
        <v>801</v>
      </c>
      <c r="V7" s="356" t="s">
        <v>801</v>
      </c>
      <c r="W7" s="356" t="s">
        <v>801</v>
      </c>
      <c r="X7" s="356" t="s">
        <v>801</v>
      </c>
      <c r="Y7" s="97" t="s">
        <v>425</v>
      </c>
      <c r="Z7" s="96" t="s">
        <v>426</v>
      </c>
      <c r="AA7" s="100" t="s">
        <v>426</v>
      </c>
      <c r="AB7" s="345" t="s">
        <v>435</v>
      </c>
      <c r="AC7" s="356" t="s">
        <v>801</v>
      </c>
      <c r="AD7" s="356" t="s">
        <v>801</v>
      </c>
      <c r="AE7" s="356" t="s">
        <v>801</v>
      </c>
      <c r="AF7" s="356" t="s">
        <v>801</v>
      </c>
      <c r="AG7" s="356" t="s">
        <v>801</v>
      </c>
      <c r="AH7" s="356" t="s">
        <v>801</v>
      </c>
      <c r="AI7" s="356" t="s">
        <v>801</v>
      </c>
      <c r="AJ7" s="356" t="s">
        <v>801</v>
      </c>
      <c r="AK7" s="356" t="s">
        <v>801</v>
      </c>
      <c r="AL7" s="346" t="s">
        <v>428</v>
      </c>
      <c r="AM7" s="347" t="s">
        <v>430</v>
      </c>
      <c r="AN7" s="347" t="s">
        <v>430</v>
      </c>
      <c r="AO7" s="347" t="s">
        <v>430</v>
      </c>
      <c r="AP7" s="347" t="s">
        <v>430</v>
      </c>
      <c r="AQ7" s="347" t="s">
        <v>430</v>
      </c>
      <c r="AR7" s="347" t="s">
        <v>430</v>
      </c>
      <c r="AS7" s="101" t="s">
        <v>432</v>
      </c>
      <c r="AT7" s="99" t="s">
        <v>426</v>
      </c>
      <c r="AU7" s="96" t="s">
        <v>426</v>
      </c>
      <c r="AV7" s="96" t="s">
        <v>426</v>
      </c>
      <c r="AW7" s="96" t="s">
        <v>426</v>
      </c>
      <c r="AX7" s="96" t="s">
        <v>426</v>
      </c>
      <c r="AY7" s="96" t="s">
        <v>426</v>
      </c>
      <c r="AZ7" s="96" t="s">
        <v>426</v>
      </c>
      <c r="BA7" s="96" t="s">
        <v>426</v>
      </c>
      <c r="BB7" s="96" t="s">
        <v>426</v>
      </c>
      <c r="BC7" s="94"/>
      <c r="BD7" s="94"/>
    </row>
    <row r="8" spans="1:67" s="95" customFormat="1" ht="21.75" customHeight="1" x14ac:dyDescent="0.3">
      <c r="A8" s="92"/>
      <c r="B8" s="96" t="s">
        <v>433</v>
      </c>
      <c r="C8" s="356" t="s">
        <v>801</v>
      </c>
      <c r="D8" s="356" t="s">
        <v>801</v>
      </c>
      <c r="E8" s="356" t="s">
        <v>801</v>
      </c>
      <c r="F8" s="356" t="s">
        <v>801</v>
      </c>
      <c r="G8" s="356" t="s">
        <v>801</v>
      </c>
      <c r="H8" s="356" t="s">
        <v>801</v>
      </c>
      <c r="I8" s="356" t="s">
        <v>801</v>
      </c>
      <c r="J8" s="356" t="s">
        <v>801</v>
      </c>
      <c r="K8" s="356" t="s">
        <v>801</v>
      </c>
      <c r="L8" s="356" t="s">
        <v>801</v>
      </c>
      <c r="M8" s="356" t="s">
        <v>801</v>
      </c>
      <c r="N8" s="356" t="s">
        <v>801</v>
      </c>
      <c r="O8" s="356" t="s">
        <v>801</v>
      </c>
      <c r="P8" s="356" t="s">
        <v>801</v>
      </c>
      <c r="Q8" s="356" t="s">
        <v>801</v>
      </c>
      <c r="R8" s="356" t="s">
        <v>801</v>
      </c>
      <c r="S8" s="356" t="s">
        <v>801</v>
      </c>
      <c r="T8" s="356" t="s">
        <v>801</v>
      </c>
      <c r="U8" s="356" t="s">
        <v>801</v>
      </c>
      <c r="V8" s="356" t="s">
        <v>801</v>
      </c>
      <c r="W8" s="356" t="s">
        <v>801</v>
      </c>
      <c r="X8" s="356" t="s">
        <v>801</v>
      </c>
      <c r="Y8" s="96" t="s">
        <v>425</v>
      </c>
      <c r="Z8" s="93" t="s">
        <v>426</v>
      </c>
      <c r="AA8" s="96" t="s">
        <v>426</v>
      </c>
      <c r="AB8" s="346" t="s">
        <v>428</v>
      </c>
      <c r="AC8" s="347" t="s">
        <v>443</v>
      </c>
      <c r="AD8" s="347" t="s">
        <v>443</v>
      </c>
      <c r="AE8" s="347" t="s">
        <v>443</v>
      </c>
      <c r="AF8" s="347" t="s">
        <v>443</v>
      </c>
      <c r="AG8" s="347" t="s">
        <v>443</v>
      </c>
      <c r="AH8" s="347" t="s">
        <v>443</v>
      </c>
      <c r="AI8" s="347" t="s">
        <v>443</v>
      </c>
      <c r="AJ8" s="347" t="s">
        <v>443</v>
      </c>
      <c r="AK8" s="347" t="s">
        <v>443</v>
      </c>
      <c r="AL8" s="347" t="s">
        <v>443</v>
      </c>
      <c r="AM8" s="347" t="s">
        <v>632</v>
      </c>
      <c r="AN8" s="347" t="s">
        <v>632</v>
      </c>
      <c r="AO8" s="347" t="s">
        <v>632</v>
      </c>
      <c r="AP8" s="347" t="s">
        <v>632</v>
      </c>
      <c r="AQ8" s="347" t="s">
        <v>632</v>
      </c>
      <c r="AR8" s="347" t="s">
        <v>632</v>
      </c>
      <c r="AS8" s="102" t="s">
        <v>432</v>
      </c>
      <c r="AT8" s="99" t="s">
        <v>426</v>
      </c>
      <c r="AU8" s="99" t="s">
        <v>426</v>
      </c>
      <c r="AV8" s="99" t="s">
        <v>426</v>
      </c>
      <c r="AW8" s="99" t="s">
        <v>426</v>
      </c>
      <c r="AX8" s="99" t="s">
        <v>426</v>
      </c>
      <c r="AY8" s="99" t="s">
        <v>426</v>
      </c>
      <c r="AZ8" s="99" t="s">
        <v>426</v>
      </c>
      <c r="BA8" s="99" t="s">
        <v>426</v>
      </c>
      <c r="BB8" s="99" t="s">
        <v>426</v>
      </c>
    </row>
    <row r="9" spans="1:67" s="95" customFormat="1" ht="21.75" customHeight="1" x14ac:dyDescent="0.3">
      <c r="BC9" s="103"/>
      <c r="BD9" s="103"/>
      <c r="BE9" s="103"/>
      <c r="BF9" s="103"/>
      <c r="BG9" s="103"/>
      <c r="BH9" s="103"/>
    </row>
    <row r="10" spans="1:67" ht="11.25" customHeight="1" x14ac:dyDescent="0.25"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664" t="s">
        <v>434</v>
      </c>
      <c r="N10" s="664"/>
      <c r="O10" s="664"/>
      <c r="P10" s="664"/>
      <c r="Q10" s="664"/>
      <c r="R10" s="664"/>
      <c r="S10" s="664"/>
      <c r="T10" s="664"/>
      <c r="U10" s="664"/>
      <c r="V10" s="664"/>
      <c r="W10" s="664"/>
      <c r="X10" s="664"/>
      <c r="Y10" s="664"/>
      <c r="Z10" s="664"/>
      <c r="AA10" s="664"/>
      <c r="AB10" s="664"/>
      <c r="AC10" s="664"/>
      <c r="AD10" s="664"/>
      <c r="AE10" s="664"/>
      <c r="AF10" s="664"/>
      <c r="AG10" s="664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6"/>
      <c r="AX10" s="106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88"/>
      <c r="BJ10" s="88"/>
      <c r="BK10" s="88"/>
      <c r="BL10" s="88"/>
      <c r="BM10" s="88"/>
      <c r="BN10" s="88"/>
      <c r="BO10" s="88"/>
    </row>
    <row r="11" spans="1:67" ht="12" customHeight="1" x14ac:dyDescent="0.2">
      <c r="A11" s="107"/>
      <c r="B11" s="108"/>
      <c r="C11" s="665" t="s">
        <v>435</v>
      </c>
      <c r="D11" s="665"/>
      <c r="E11" s="109"/>
      <c r="F11" s="110" t="s">
        <v>436</v>
      </c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666" t="s">
        <v>437</v>
      </c>
      <c r="Y11" s="666"/>
      <c r="Z11" s="110" t="s">
        <v>438</v>
      </c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666" t="s">
        <v>425</v>
      </c>
      <c r="AQ11" s="666"/>
      <c r="AR11" s="350" t="s">
        <v>439</v>
      </c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111"/>
      <c r="BD11" s="86"/>
      <c r="BE11" s="86"/>
      <c r="BF11" s="86"/>
      <c r="BG11" s="112"/>
      <c r="BH11" s="113"/>
      <c r="BI11" s="105"/>
      <c r="BJ11" s="105"/>
    </row>
    <row r="12" spans="1:67" ht="11.25" customHeight="1" x14ac:dyDescent="0.2">
      <c r="A12" s="114"/>
      <c r="B12" s="109"/>
      <c r="C12" s="665" t="s">
        <v>430</v>
      </c>
      <c r="D12" s="665"/>
      <c r="E12" s="109"/>
      <c r="F12" s="665" t="s">
        <v>440</v>
      </c>
      <c r="G12" s="665"/>
      <c r="H12" s="665"/>
      <c r="I12" s="665"/>
      <c r="J12" s="665"/>
      <c r="K12" s="665"/>
      <c r="L12" s="665"/>
      <c r="M12" s="665"/>
      <c r="N12" s="665"/>
      <c r="O12" s="665"/>
      <c r="P12" s="109"/>
      <c r="Q12" s="109"/>
      <c r="R12" s="109"/>
      <c r="S12" s="109"/>
      <c r="T12" s="109"/>
      <c r="U12" s="109"/>
      <c r="V12" s="109"/>
      <c r="W12" s="109"/>
      <c r="X12" s="666" t="s">
        <v>427</v>
      </c>
      <c r="Y12" s="666"/>
      <c r="Z12" s="110" t="s">
        <v>441</v>
      </c>
      <c r="AA12" s="110"/>
      <c r="AB12" s="110"/>
      <c r="AC12" s="110"/>
      <c r="AD12" s="351"/>
      <c r="AO12" s="109"/>
      <c r="AP12" s="666" t="s">
        <v>432</v>
      </c>
      <c r="AQ12" s="666"/>
      <c r="AR12" s="350" t="s">
        <v>442</v>
      </c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107"/>
      <c r="BD12" s="107"/>
      <c r="BE12" s="107"/>
      <c r="BF12" s="107"/>
      <c r="BG12" s="115"/>
      <c r="BH12" s="116"/>
      <c r="BI12" s="105"/>
      <c r="BJ12" s="105"/>
      <c r="BN12" s="117"/>
    </row>
    <row r="13" spans="1:67" x14ac:dyDescent="0.2">
      <c r="A13" s="114"/>
      <c r="B13" s="109"/>
      <c r="C13" s="665" t="s">
        <v>443</v>
      </c>
      <c r="D13" s="665"/>
      <c r="F13" s="665" t="s">
        <v>444</v>
      </c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350"/>
      <c r="T13" s="350"/>
      <c r="U13" s="350"/>
      <c r="V13" s="350"/>
      <c r="X13" s="666" t="s">
        <v>428</v>
      </c>
      <c r="Y13" s="666"/>
      <c r="Z13" s="665" t="s">
        <v>445</v>
      </c>
      <c r="AA13" s="665"/>
      <c r="AB13" s="665"/>
      <c r="AC13" s="665"/>
      <c r="AD13" s="665"/>
      <c r="AE13" s="665"/>
      <c r="AF13" s="665"/>
      <c r="AG13" s="665"/>
      <c r="AH13" s="665"/>
      <c r="AI13" s="665"/>
      <c r="AJ13" s="665"/>
      <c r="AP13" s="666" t="s">
        <v>426</v>
      </c>
      <c r="AQ13" s="666"/>
      <c r="AR13" s="665" t="s">
        <v>446</v>
      </c>
      <c r="AS13" s="665"/>
      <c r="AT13" s="665"/>
      <c r="AU13" s="665"/>
      <c r="AV13" s="665"/>
      <c r="AW13" s="665"/>
      <c r="AX13" s="665"/>
      <c r="AY13" s="665"/>
      <c r="AZ13" s="665"/>
      <c r="BA13" s="665"/>
      <c r="BB13" s="665"/>
      <c r="BC13" s="107"/>
      <c r="BD13" s="107"/>
      <c r="BE13" s="107"/>
      <c r="BF13" s="107"/>
      <c r="BG13" s="115"/>
      <c r="BH13" s="116"/>
      <c r="BI13" s="84"/>
      <c r="BJ13" s="84"/>
    </row>
    <row r="14" spans="1:67" ht="12.75" customHeight="1" x14ac:dyDescent="0.2">
      <c r="BC14" s="107"/>
      <c r="BD14" s="107"/>
      <c r="BE14" s="107"/>
      <c r="BF14" s="107"/>
      <c r="BG14" s="115"/>
      <c r="BH14" s="116"/>
    </row>
    <row r="15" spans="1:67" ht="13.2" x14ac:dyDescent="0.25">
      <c r="B15" s="86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7" ht="12.75" customHeight="1" x14ac:dyDescent="0.25">
      <c r="B16" s="86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352"/>
      <c r="AI16" s="352"/>
      <c r="AJ16" s="352"/>
      <c r="AK16" s="352"/>
      <c r="AL16" s="352"/>
      <c r="AM16" s="352"/>
      <c r="AN16" s="352"/>
      <c r="AO16" s="352"/>
      <c r="AP16" s="352"/>
      <c r="AQ16" s="352"/>
      <c r="AR16" s="352"/>
      <c r="AS16" s="352"/>
      <c r="AT16" s="352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</row>
    <row r="17" spans="2:60" ht="13.5" customHeight="1" x14ac:dyDescent="0.25">
      <c r="B17" s="86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</row>
    <row r="31" spans="2:60" ht="11.25" customHeight="1" x14ac:dyDescent="0.2"/>
    <row r="32" spans="2:60" ht="12" customHeight="1" x14ac:dyDescent="0.2"/>
  </sheetData>
  <mergeCells count="27">
    <mergeCell ref="AR13:BB13"/>
    <mergeCell ref="C12:D12"/>
    <mergeCell ref="F12:O12"/>
    <mergeCell ref="X12:Y12"/>
    <mergeCell ref="AP12:AQ12"/>
    <mergeCell ref="C13:D13"/>
    <mergeCell ref="F13:R13"/>
    <mergeCell ref="X13:Y13"/>
    <mergeCell ref="Z13:AJ13"/>
    <mergeCell ref="AP13:AQ13"/>
    <mergeCell ref="AU3:AX3"/>
    <mergeCell ref="AY3:BB3"/>
    <mergeCell ref="M10:AG10"/>
    <mergeCell ref="C11:D11"/>
    <mergeCell ref="X11:Y11"/>
    <mergeCell ref="AP11:AQ11"/>
    <mergeCell ref="AH2:AT2"/>
    <mergeCell ref="C3:G3"/>
    <mergeCell ref="H3:K3"/>
    <mergeCell ref="L3:O3"/>
    <mergeCell ref="P3:T3"/>
    <mergeCell ref="U3:Y3"/>
    <mergeCell ref="Z3:AC3"/>
    <mergeCell ref="AD3:AH3"/>
    <mergeCell ref="AI3:AL3"/>
    <mergeCell ref="AM3:AP3"/>
    <mergeCell ref="AQ3:AT3"/>
  </mergeCells>
  <pageMargins left="0.25" right="0.25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32"/>
  <sheetViews>
    <sheetView topLeftCell="A3" zoomScale="120" zoomScaleNormal="120" workbookViewId="0">
      <selection activeCell="BD14" sqref="BD14"/>
    </sheetView>
  </sheetViews>
  <sheetFormatPr defaultColWidth="2.6640625" defaultRowHeight="10.199999999999999" x14ac:dyDescent="0.2"/>
  <cols>
    <col min="1" max="1" width="1.5546875" style="83" customWidth="1"/>
    <col min="2" max="2" width="3.6640625" style="83" customWidth="1"/>
    <col min="3" max="20" width="2.33203125" style="83" customWidth="1"/>
    <col min="21" max="21" width="3.109375" style="83" customWidth="1"/>
    <col min="22" max="43" width="2.33203125" style="83" customWidth="1"/>
    <col min="44" max="44" width="2.88671875" style="83" customWidth="1"/>
    <col min="45" max="54" width="2.33203125" style="83" customWidth="1"/>
    <col min="55" max="57" width="2.44140625" style="83" customWidth="1"/>
    <col min="58" max="58" width="1.33203125" style="83" customWidth="1"/>
    <col min="59" max="59" width="1.5546875" style="83" hidden="1" customWidth="1"/>
    <col min="60" max="60" width="2.44140625" style="83" hidden="1" customWidth="1"/>
    <col min="61" max="62" width="2.44140625" style="83" customWidth="1"/>
    <col min="63" max="16384" width="2.6640625" style="83"/>
  </cols>
  <sheetData>
    <row r="1" spans="1:67" ht="15" customHeight="1" x14ac:dyDescent="0.25">
      <c r="L1" s="84"/>
      <c r="M1" s="84"/>
      <c r="N1" s="493" t="s">
        <v>409</v>
      </c>
      <c r="O1" s="84"/>
      <c r="P1" s="84"/>
      <c r="Q1" s="84"/>
      <c r="R1" s="84"/>
      <c r="S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7"/>
      <c r="AW1" s="87"/>
      <c r="AX1" s="87"/>
      <c r="AY1" s="87"/>
      <c r="AZ1" s="87"/>
      <c r="BA1" s="87"/>
      <c r="BB1" s="87"/>
      <c r="BC1" s="87"/>
      <c r="BD1" s="87"/>
    </row>
    <row r="2" spans="1:67" ht="12.75" customHeight="1" x14ac:dyDescent="0.25">
      <c r="B2" s="86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657"/>
      <c r="AI2" s="657"/>
      <c r="AJ2" s="657"/>
      <c r="AK2" s="657"/>
      <c r="AL2" s="657"/>
      <c r="AM2" s="657"/>
      <c r="AN2" s="657"/>
      <c r="AO2" s="657"/>
      <c r="AP2" s="657"/>
      <c r="AQ2" s="657"/>
      <c r="AR2" s="657"/>
      <c r="AS2" s="657"/>
      <c r="AT2" s="657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</row>
    <row r="3" spans="1:67" ht="29.25" customHeight="1" x14ac:dyDescent="0.25">
      <c r="A3" s="89"/>
      <c r="B3" s="90" t="s">
        <v>410</v>
      </c>
      <c r="C3" s="658" t="s">
        <v>411</v>
      </c>
      <c r="D3" s="658"/>
      <c r="E3" s="658"/>
      <c r="F3" s="658"/>
      <c r="G3" s="658"/>
      <c r="H3" s="658" t="s">
        <v>412</v>
      </c>
      <c r="I3" s="658"/>
      <c r="J3" s="658"/>
      <c r="K3" s="658"/>
      <c r="L3" s="658" t="s">
        <v>413</v>
      </c>
      <c r="M3" s="658"/>
      <c r="N3" s="658"/>
      <c r="O3" s="658"/>
      <c r="P3" s="658" t="s">
        <v>414</v>
      </c>
      <c r="Q3" s="658"/>
      <c r="R3" s="658"/>
      <c r="S3" s="658"/>
      <c r="T3" s="658"/>
      <c r="U3" s="658" t="s">
        <v>415</v>
      </c>
      <c r="V3" s="658"/>
      <c r="W3" s="658"/>
      <c r="X3" s="658"/>
      <c r="Y3" s="658"/>
      <c r="Z3" s="658" t="s">
        <v>416</v>
      </c>
      <c r="AA3" s="658"/>
      <c r="AB3" s="658"/>
      <c r="AC3" s="658"/>
      <c r="AD3" s="658" t="s">
        <v>417</v>
      </c>
      <c r="AE3" s="658"/>
      <c r="AF3" s="658"/>
      <c r="AG3" s="658"/>
      <c r="AH3" s="658"/>
      <c r="AI3" s="659" t="s">
        <v>418</v>
      </c>
      <c r="AJ3" s="660"/>
      <c r="AK3" s="660"/>
      <c r="AL3" s="661"/>
      <c r="AM3" s="658" t="s">
        <v>419</v>
      </c>
      <c r="AN3" s="658"/>
      <c r="AO3" s="658"/>
      <c r="AP3" s="658"/>
      <c r="AQ3" s="658" t="s">
        <v>420</v>
      </c>
      <c r="AR3" s="658"/>
      <c r="AS3" s="658"/>
      <c r="AT3" s="658"/>
      <c r="AU3" s="658" t="s">
        <v>421</v>
      </c>
      <c r="AV3" s="658"/>
      <c r="AW3" s="658"/>
      <c r="AX3" s="658"/>
      <c r="AY3" s="667" t="s">
        <v>422</v>
      </c>
      <c r="AZ3" s="667"/>
      <c r="BA3" s="667"/>
      <c r="BB3" s="667"/>
      <c r="BC3" s="91"/>
      <c r="BD3" s="91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</row>
    <row r="4" spans="1:67" s="95" customFormat="1" ht="21.75" customHeight="1" x14ac:dyDescent="0.3">
      <c r="A4" s="92"/>
      <c r="B4" s="93" t="s">
        <v>423</v>
      </c>
      <c r="C4" s="93">
        <v>1</v>
      </c>
      <c r="D4" s="93">
        <v>2</v>
      </c>
      <c r="E4" s="93">
        <v>3</v>
      </c>
      <c r="F4" s="93">
        <v>4</v>
      </c>
      <c r="G4" s="93">
        <v>5</v>
      </c>
      <c r="H4" s="93">
        <v>6</v>
      </c>
      <c r="I4" s="93">
        <v>7</v>
      </c>
      <c r="J4" s="93">
        <v>8</v>
      </c>
      <c r="K4" s="93">
        <v>9</v>
      </c>
      <c r="L4" s="93">
        <v>10</v>
      </c>
      <c r="M4" s="93">
        <v>11</v>
      </c>
      <c r="N4" s="93">
        <v>12</v>
      </c>
      <c r="O4" s="93">
        <v>13</v>
      </c>
      <c r="P4" s="93">
        <v>14</v>
      </c>
      <c r="Q4" s="93">
        <v>15</v>
      </c>
      <c r="R4" s="93">
        <v>16</v>
      </c>
      <c r="S4" s="93">
        <v>17</v>
      </c>
      <c r="T4" s="93">
        <v>18</v>
      </c>
      <c r="U4" s="93">
        <v>19</v>
      </c>
      <c r="V4" s="93">
        <v>20</v>
      </c>
      <c r="W4" s="93">
        <v>21</v>
      </c>
      <c r="X4" s="93">
        <v>22</v>
      </c>
      <c r="Y4" s="93">
        <v>23</v>
      </c>
      <c r="Z4" s="93">
        <v>24</v>
      </c>
      <c r="AA4" s="93">
        <v>25</v>
      </c>
      <c r="AB4" s="93">
        <v>26</v>
      </c>
      <c r="AC4" s="93">
        <v>27</v>
      </c>
      <c r="AD4" s="93">
        <v>28</v>
      </c>
      <c r="AE4" s="93">
        <v>29</v>
      </c>
      <c r="AF4" s="93">
        <v>30</v>
      </c>
      <c r="AG4" s="93">
        <v>31</v>
      </c>
      <c r="AH4" s="93">
        <v>32</v>
      </c>
      <c r="AI4" s="93">
        <v>33</v>
      </c>
      <c r="AJ4" s="93">
        <v>34</v>
      </c>
      <c r="AK4" s="93">
        <v>35</v>
      </c>
      <c r="AL4" s="93">
        <v>36</v>
      </c>
      <c r="AM4" s="93">
        <v>37</v>
      </c>
      <c r="AN4" s="93">
        <v>38</v>
      </c>
      <c r="AO4" s="93">
        <v>39</v>
      </c>
      <c r="AP4" s="93">
        <v>40</v>
      </c>
      <c r="AQ4" s="93">
        <v>41</v>
      </c>
      <c r="AR4" s="93">
        <v>42</v>
      </c>
      <c r="AS4" s="93">
        <v>43</v>
      </c>
      <c r="AT4" s="93">
        <v>44</v>
      </c>
      <c r="AU4" s="93">
        <v>45</v>
      </c>
      <c r="AV4" s="93">
        <v>46</v>
      </c>
      <c r="AW4" s="93">
        <v>47</v>
      </c>
      <c r="AX4" s="93">
        <v>48</v>
      </c>
      <c r="AY4" s="93">
        <v>49</v>
      </c>
      <c r="AZ4" s="93">
        <v>50</v>
      </c>
      <c r="BA4" s="93">
        <v>51</v>
      </c>
      <c r="BB4" s="93">
        <v>52</v>
      </c>
      <c r="BC4" s="94"/>
      <c r="BD4" s="94"/>
    </row>
    <row r="5" spans="1:67" s="95" customFormat="1" ht="21.75" customHeight="1" x14ac:dyDescent="0.3">
      <c r="A5" s="92"/>
      <c r="B5" s="96" t="s">
        <v>424</v>
      </c>
      <c r="C5" s="345" t="s">
        <v>435</v>
      </c>
      <c r="D5" s="345" t="s">
        <v>435</v>
      </c>
      <c r="E5" s="345" t="s">
        <v>435</v>
      </c>
      <c r="F5" s="345" t="s">
        <v>435</v>
      </c>
      <c r="G5" s="345" t="s">
        <v>435</v>
      </c>
      <c r="H5" s="345" t="s">
        <v>435</v>
      </c>
      <c r="I5" s="345" t="s">
        <v>435</v>
      </c>
      <c r="J5" s="345" t="s">
        <v>435</v>
      </c>
      <c r="K5" s="345" t="s">
        <v>435</v>
      </c>
      <c r="L5" s="345" t="s">
        <v>435</v>
      </c>
      <c r="M5" s="345" t="s">
        <v>435</v>
      </c>
      <c r="N5" s="345" t="s">
        <v>435</v>
      </c>
      <c r="O5" s="345" t="s">
        <v>435</v>
      </c>
      <c r="P5" s="345" t="s">
        <v>435</v>
      </c>
      <c r="Q5" s="345" t="s">
        <v>435</v>
      </c>
      <c r="R5" s="345" t="s">
        <v>435</v>
      </c>
      <c r="S5" s="345" t="s">
        <v>435</v>
      </c>
      <c r="T5" s="345" t="s">
        <v>435</v>
      </c>
      <c r="U5" s="349" t="s">
        <v>684</v>
      </c>
      <c r="V5" s="96" t="s">
        <v>426</v>
      </c>
      <c r="W5" s="96" t="s">
        <v>426</v>
      </c>
      <c r="X5" s="345" t="s">
        <v>435</v>
      </c>
      <c r="Y5" s="345" t="s">
        <v>435</v>
      </c>
      <c r="Z5" s="345" t="s">
        <v>435</v>
      </c>
      <c r="AA5" s="345" t="s">
        <v>435</v>
      </c>
      <c r="AB5" s="345" t="s">
        <v>435</v>
      </c>
      <c r="AC5" s="345" t="s">
        <v>435</v>
      </c>
      <c r="AD5" s="345" t="s">
        <v>435</v>
      </c>
      <c r="AE5" s="345" t="s">
        <v>435</v>
      </c>
      <c r="AF5" s="345" t="s">
        <v>435</v>
      </c>
      <c r="AG5" s="345" t="s">
        <v>435</v>
      </c>
      <c r="AH5" s="345" t="s">
        <v>435</v>
      </c>
      <c r="AI5" s="345" t="s">
        <v>435</v>
      </c>
      <c r="AJ5" s="345" t="s">
        <v>435</v>
      </c>
      <c r="AK5" s="345" t="s">
        <v>435</v>
      </c>
      <c r="AL5" s="345" t="s">
        <v>435</v>
      </c>
      <c r="AM5" s="345" t="s">
        <v>435</v>
      </c>
      <c r="AN5" s="345" t="s">
        <v>435</v>
      </c>
      <c r="AO5" s="98" t="s">
        <v>427</v>
      </c>
      <c r="AP5" s="345" t="s">
        <v>435</v>
      </c>
      <c r="AQ5" s="345" t="s">
        <v>435</v>
      </c>
      <c r="AR5" s="349" t="s">
        <v>684</v>
      </c>
      <c r="AS5" s="99" t="s">
        <v>425</v>
      </c>
      <c r="AT5" s="96" t="s">
        <v>426</v>
      </c>
      <c r="AU5" s="96" t="s">
        <v>426</v>
      </c>
      <c r="AV5" s="96" t="s">
        <v>426</v>
      </c>
      <c r="AW5" s="96" t="s">
        <v>426</v>
      </c>
      <c r="AX5" s="96" t="s">
        <v>426</v>
      </c>
      <c r="AY5" s="96" t="s">
        <v>426</v>
      </c>
      <c r="AZ5" s="96" t="s">
        <v>426</v>
      </c>
      <c r="BA5" s="96" t="s">
        <v>426</v>
      </c>
      <c r="BB5" s="96" t="s">
        <v>426</v>
      </c>
      <c r="BC5" s="94"/>
      <c r="BD5" s="94"/>
    </row>
    <row r="6" spans="1:67" s="95" customFormat="1" ht="16.5" customHeight="1" x14ac:dyDescent="0.3">
      <c r="A6" s="92"/>
      <c r="B6" s="96" t="s">
        <v>429</v>
      </c>
      <c r="C6" s="98" t="s">
        <v>430</v>
      </c>
      <c r="D6" s="492" t="s">
        <v>813</v>
      </c>
      <c r="E6" s="492" t="s">
        <v>813</v>
      </c>
      <c r="F6" s="492" t="s">
        <v>813</v>
      </c>
      <c r="G6" s="492" t="s">
        <v>813</v>
      </c>
      <c r="H6" s="492" t="s">
        <v>813</v>
      </c>
      <c r="I6" s="492" t="s">
        <v>813</v>
      </c>
      <c r="J6" s="492" t="s">
        <v>813</v>
      </c>
      <c r="K6" s="492" t="s">
        <v>813</v>
      </c>
      <c r="L6" s="492" t="s">
        <v>813</v>
      </c>
      <c r="M6" s="492" t="s">
        <v>813</v>
      </c>
      <c r="N6" s="492" t="s">
        <v>813</v>
      </c>
      <c r="O6" s="492" t="s">
        <v>813</v>
      </c>
      <c r="P6" s="492" t="s">
        <v>813</v>
      </c>
      <c r="Q6" s="492" t="s">
        <v>813</v>
      </c>
      <c r="R6" s="492" t="s">
        <v>813</v>
      </c>
      <c r="S6" s="492" t="s">
        <v>813</v>
      </c>
      <c r="T6" s="492" t="s">
        <v>813</v>
      </c>
      <c r="U6" s="492" t="s">
        <v>813</v>
      </c>
      <c r="V6" s="492" t="s">
        <v>813</v>
      </c>
      <c r="W6" s="492" t="s">
        <v>813</v>
      </c>
      <c r="X6" s="492" t="s">
        <v>813</v>
      </c>
      <c r="Y6" s="96" t="s">
        <v>425</v>
      </c>
      <c r="Z6" s="96" t="s">
        <v>426</v>
      </c>
      <c r="AA6" s="96" t="s">
        <v>426</v>
      </c>
      <c r="AB6" s="492" t="s">
        <v>813</v>
      </c>
      <c r="AC6" s="492" t="s">
        <v>813</v>
      </c>
      <c r="AD6" s="492" t="s">
        <v>813</v>
      </c>
      <c r="AE6" s="492" t="s">
        <v>813</v>
      </c>
      <c r="AF6" s="492" t="s">
        <v>813</v>
      </c>
      <c r="AG6" s="492" t="s">
        <v>813</v>
      </c>
      <c r="AH6" s="492" t="s">
        <v>813</v>
      </c>
      <c r="AI6" s="492" t="s">
        <v>813</v>
      </c>
      <c r="AJ6" s="492" t="s">
        <v>813</v>
      </c>
      <c r="AK6" s="492" t="s">
        <v>813</v>
      </c>
      <c r="AL6" s="492" t="s">
        <v>813</v>
      </c>
      <c r="AM6" s="492" t="s">
        <v>813</v>
      </c>
      <c r="AN6" s="492" t="s">
        <v>813</v>
      </c>
      <c r="AO6" s="492" t="s">
        <v>813</v>
      </c>
      <c r="AP6" s="492" t="s">
        <v>813</v>
      </c>
      <c r="AQ6" s="492" t="s">
        <v>813</v>
      </c>
      <c r="AR6" s="99" t="s">
        <v>428</v>
      </c>
      <c r="AS6" s="97" t="s">
        <v>425</v>
      </c>
      <c r="AT6" s="99" t="s">
        <v>426</v>
      </c>
      <c r="AU6" s="96" t="s">
        <v>426</v>
      </c>
      <c r="AV6" s="96" t="s">
        <v>426</v>
      </c>
      <c r="AW6" s="96" t="s">
        <v>426</v>
      </c>
      <c r="AX6" s="96" t="s">
        <v>426</v>
      </c>
      <c r="AY6" s="96" t="s">
        <v>426</v>
      </c>
      <c r="AZ6" s="96" t="s">
        <v>426</v>
      </c>
      <c r="BA6" s="96" t="s">
        <v>426</v>
      </c>
      <c r="BB6" s="96" t="s">
        <v>426</v>
      </c>
      <c r="BD6" s="94"/>
    </row>
    <row r="7" spans="1:67" s="95" customFormat="1" ht="16.5" customHeight="1" x14ac:dyDescent="0.3">
      <c r="A7" s="92"/>
      <c r="B7" s="96" t="s">
        <v>431</v>
      </c>
      <c r="C7" s="492" t="s">
        <v>813</v>
      </c>
      <c r="D7" s="492" t="s">
        <v>813</v>
      </c>
      <c r="E7" s="492" t="s">
        <v>813</v>
      </c>
      <c r="F7" s="492" t="s">
        <v>813</v>
      </c>
      <c r="G7" s="492" t="s">
        <v>813</v>
      </c>
      <c r="H7" s="492" t="s">
        <v>813</v>
      </c>
      <c r="I7" s="492" t="s">
        <v>813</v>
      </c>
      <c r="J7" s="492" t="s">
        <v>813</v>
      </c>
      <c r="K7" s="492" t="s">
        <v>813</v>
      </c>
      <c r="L7" s="492" t="s">
        <v>813</v>
      </c>
      <c r="M7" s="492" t="s">
        <v>813</v>
      </c>
      <c r="N7" s="492" t="s">
        <v>813</v>
      </c>
      <c r="O7" s="492" t="s">
        <v>813</v>
      </c>
      <c r="P7" s="492" t="s">
        <v>813</v>
      </c>
      <c r="Q7" s="492" t="s">
        <v>813</v>
      </c>
      <c r="R7" s="492" t="s">
        <v>813</v>
      </c>
      <c r="S7" s="97" t="s">
        <v>425</v>
      </c>
      <c r="T7" s="96" t="s">
        <v>426</v>
      </c>
      <c r="U7" s="100" t="s">
        <v>426</v>
      </c>
      <c r="V7" s="492" t="s">
        <v>813</v>
      </c>
      <c r="W7" s="492" t="s">
        <v>813</v>
      </c>
      <c r="X7" s="492" t="s">
        <v>813</v>
      </c>
      <c r="Y7" s="492" t="s">
        <v>813</v>
      </c>
      <c r="Z7" s="492" t="s">
        <v>813</v>
      </c>
      <c r="AA7" s="492" t="s">
        <v>813</v>
      </c>
      <c r="AB7" s="492" t="s">
        <v>813</v>
      </c>
      <c r="AC7" s="492" t="s">
        <v>813</v>
      </c>
      <c r="AD7" s="492" t="s">
        <v>813</v>
      </c>
      <c r="AE7" s="492" t="s">
        <v>813</v>
      </c>
      <c r="AF7" s="492" t="s">
        <v>813</v>
      </c>
      <c r="AG7" s="492" t="s">
        <v>813</v>
      </c>
      <c r="AH7" s="492" t="s">
        <v>813</v>
      </c>
      <c r="AI7" s="492" t="s">
        <v>813</v>
      </c>
      <c r="AJ7" s="492" t="s">
        <v>813</v>
      </c>
      <c r="AK7" s="492" t="s">
        <v>813</v>
      </c>
      <c r="AL7" s="346" t="s">
        <v>428</v>
      </c>
      <c r="AM7" s="347" t="s">
        <v>430</v>
      </c>
      <c r="AN7" s="347" t="s">
        <v>430</v>
      </c>
      <c r="AO7" s="347" t="s">
        <v>430</v>
      </c>
      <c r="AP7" s="347" t="s">
        <v>430</v>
      </c>
      <c r="AQ7" s="347" t="s">
        <v>430</v>
      </c>
      <c r="AR7" s="347" t="s">
        <v>430</v>
      </c>
      <c r="AS7" s="101" t="s">
        <v>432</v>
      </c>
      <c r="AT7" s="99" t="s">
        <v>426</v>
      </c>
      <c r="AU7" s="96" t="s">
        <v>426</v>
      </c>
      <c r="AV7" s="96" t="s">
        <v>426</v>
      </c>
      <c r="AW7" s="96" t="s">
        <v>426</v>
      </c>
      <c r="AX7" s="96" t="s">
        <v>426</v>
      </c>
      <c r="AY7" s="96" t="s">
        <v>426</v>
      </c>
      <c r="AZ7" s="96" t="s">
        <v>426</v>
      </c>
      <c r="BA7" s="96" t="s">
        <v>426</v>
      </c>
      <c r="BB7" s="96" t="s">
        <v>426</v>
      </c>
      <c r="BC7" s="94"/>
      <c r="BD7" s="94"/>
    </row>
    <row r="8" spans="1:67" s="95" customFormat="1" ht="16.5" customHeight="1" x14ac:dyDescent="0.3">
      <c r="A8" s="92"/>
      <c r="B8" s="96" t="s">
        <v>433</v>
      </c>
      <c r="C8" s="492" t="s">
        <v>813</v>
      </c>
      <c r="D8" s="492" t="s">
        <v>813</v>
      </c>
      <c r="E8" s="492" t="s">
        <v>813</v>
      </c>
      <c r="F8" s="492" t="s">
        <v>813</v>
      </c>
      <c r="G8" s="492" t="s">
        <v>813</v>
      </c>
      <c r="H8" s="492" t="s">
        <v>813</v>
      </c>
      <c r="I8" s="492" t="s">
        <v>813</v>
      </c>
      <c r="J8" s="492" t="s">
        <v>813</v>
      </c>
      <c r="K8" s="492" t="s">
        <v>813</v>
      </c>
      <c r="L8" s="492" t="s">
        <v>813</v>
      </c>
      <c r="M8" s="492" t="s">
        <v>813</v>
      </c>
      <c r="N8" s="492" t="s">
        <v>813</v>
      </c>
      <c r="O8" s="492" t="s">
        <v>813</v>
      </c>
      <c r="P8" s="492" t="s">
        <v>813</v>
      </c>
      <c r="Q8" s="492" t="s">
        <v>813</v>
      </c>
      <c r="R8" s="492" t="s">
        <v>813</v>
      </c>
      <c r="S8" s="96" t="s">
        <v>425</v>
      </c>
      <c r="T8" s="93" t="s">
        <v>426</v>
      </c>
      <c r="U8" s="96" t="s">
        <v>426</v>
      </c>
      <c r="V8" s="492" t="s">
        <v>813</v>
      </c>
      <c r="W8" s="492" t="s">
        <v>813</v>
      </c>
      <c r="X8" s="492" t="s">
        <v>813</v>
      </c>
      <c r="Y8" s="492" t="s">
        <v>813</v>
      </c>
      <c r="Z8" s="492" t="s">
        <v>813</v>
      </c>
      <c r="AA8" s="492" t="s">
        <v>813</v>
      </c>
      <c r="AB8" s="346" t="s">
        <v>428</v>
      </c>
      <c r="AC8" s="347" t="s">
        <v>443</v>
      </c>
      <c r="AD8" s="347" t="s">
        <v>443</v>
      </c>
      <c r="AE8" s="347" t="s">
        <v>443</v>
      </c>
      <c r="AF8" s="347" t="s">
        <v>443</v>
      </c>
      <c r="AG8" s="347" t="s">
        <v>443</v>
      </c>
      <c r="AH8" s="347" t="s">
        <v>443</v>
      </c>
      <c r="AI8" s="347" t="s">
        <v>443</v>
      </c>
      <c r="AJ8" s="347" t="s">
        <v>443</v>
      </c>
      <c r="AK8" s="347" t="s">
        <v>443</v>
      </c>
      <c r="AL8" s="347" t="s">
        <v>443</v>
      </c>
      <c r="AM8" s="347" t="s">
        <v>632</v>
      </c>
      <c r="AN8" s="347" t="s">
        <v>632</v>
      </c>
      <c r="AO8" s="347" t="s">
        <v>632</v>
      </c>
      <c r="AP8" s="347" t="s">
        <v>632</v>
      </c>
      <c r="AQ8" s="347" t="s">
        <v>632</v>
      </c>
      <c r="AR8" s="347" t="s">
        <v>632</v>
      </c>
      <c r="AS8" s="102" t="s">
        <v>432</v>
      </c>
      <c r="AT8" s="99" t="s">
        <v>426</v>
      </c>
      <c r="AU8" s="99" t="s">
        <v>426</v>
      </c>
      <c r="AV8" s="99" t="s">
        <v>426</v>
      </c>
      <c r="AW8" s="99" t="s">
        <v>426</v>
      </c>
      <c r="AX8" s="99" t="s">
        <v>426</v>
      </c>
      <c r="AY8" s="99" t="s">
        <v>426</v>
      </c>
      <c r="AZ8" s="99" t="s">
        <v>426</v>
      </c>
      <c r="BA8" s="99" t="s">
        <v>426</v>
      </c>
      <c r="BB8" s="99" t="s">
        <v>426</v>
      </c>
    </row>
    <row r="9" spans="1:67" s="95" customFormat="1" ht="21.75" customHeight="1" x14ac:dyDescent="0.3">
      <c r="BC9" s="103"/>
      <c r="BD9" s="103"/>
      <c r="BE9" s="103"/>
      <c r="BF9" s="103"/>
      <c r="BG9" s="103"/>
      <c r="BH9" s="103"/>
    </row>
    <row r="10" spans="1:67" ht="11.25" customHeight="1" x14ac:dyDescent="0.25">
      <c r="B10" s="494"/>
      <c r="C10" s="494"/>
      <c r="D10" s="494"/>
      <c r="E10" s="494"/>
      <c r="F10" s="494"/>
      <c r="G10" s="494"/>
      <c r="H10" s="494"/>
      <c r="I10" s="494"/>
      <c r="J10" s="494"/>
      <c r="K10" s="494"/>
      <c r="L10" s="494"/>
      <c r="M10" s="669" t="s">
        <v>434</v>
      </c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  <c r="AB10" s="669"/>
      <c r="AC10" s="669"/>
      <c r="AD10" s="669"/>
      <c r="AE10" s="669"/>
      <c r="AF10" s="669"/>
      <c r="AG10" s="669"/>
      <c r="AH10" s="495"/>
      <c r="AI10" s="495"/>
      <c r="AJ10" s="495"/>
      <c r="AK10" s="495"/>
      <c r="AL10" s="495"/>
      <c r="AM10" s="495"/>
      <c r="AN10" s="495"/>
      <c r="AO10" s="495"/>
      <c r="AP10" s="495"/>
      <c r="AQ10" s="495"/>
      <c r="AR10" s="495"/>
      <c r="AS10" s="495"/>
      <c r="AT10" s="495"/>
      <c r="AU10" s="495"/>
      <c r="AV10" s="495"/>
      <c r="AW10" s="496"/>
      <c r="AX10" s="496"/>
      <c r="AY10" s="495"/>
      <c r="AZ10" s="495"/>
      <c r="BA10" s="495"/>
      <c r="BB10" s="495"/>
      <c r="BC10" s="105"/>
      <c r="BD10" s="105"/>
      <c r="BE10" s="105"/>
      <c r="BF10" s="105"/>
      <c r="BG10" s="105"/>
      <c r="BH10" s="105"/>
      <c r="BI10" s="88"/>
      <c r="BJ10" s="88"/>
      <c r="BK10" s="88"/>
      <c r="BL10" s="88"/>
      <c r="BM10" s="88"/>
      <c r="BN10" s="88"/>
      <c r="BO10" s="88"/>
    </row>
    <row r="11" spans="1:67" ht="12" customHeight="1" x14ac:dyDescent="0.2">
      <c r="A11" s="107"/>
      <c r="B11" s="497"/>
      <c r="C11" s="668" t="s">
        <v>435</v>
      </c>
      <c r="D11" s="668"/>
      <c r="E11" s="498"/>
      <c r="F11" s="499" t="s">
        <v>436</v>
      </c>
      <c r="G11" s="499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/>
      <c r="T11" s="499"/>
      <c r="U11" s="499"/>
      <c r="V11" s="499"/>
      <c r="W11" s="499"/>
      <c r="X11" s="670" t="s">
        <v>437</v>
      </c>
      <c r="Y11" s="670"/>
      <c r="Z11" s="499" t="s">
        <v>438</v>
      </c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  <c r="AO11" s="499"/>
      <c r="AP11" s="670" t="s">
        <v>425</v>
      </c>
      <c r="AQ11" s="670"/>
      <c r="AR11" s="500" t="s">
        <v>439</v>
      </c>
      <c r="AS11" s="500"/>
      <c r="AT11" s="500"/>
      <c r="AU11" s="500"/>
      <c r="AV11" s="500"/>
      <c r="AW11" s="500"/>
      <c r="AX11" s="500"/>
      <c r="AY11" s="500"/>
      <c r="AZ11" s="500"/>
      <c r="BA11" s="500"/>
      <c r="BB11" s="500"/>
      <c r="BC11" s="111"/>
      <c r="BD11" s="86"/>
      <c r="BE11" s="86"/>
      <c r="BF11" s="86"/>
      <c r="BG11" s="112"/>
      <c r="BH11" s="113"/>
      <c r="BI11" s="105"/>
      <c r="BJ11" s="105"/>
    </row>
    <row r="12" spans="1:67" ht="11.25" customHeight="1" x14ac:dyDescent="0.2">
      <c r="A12" s="114"/>
      <c r="B12" s="498"/>
      <c r="C12" s="668" t="s">
        <v>430</v>
      </c>
      <c r="D12" s="668"/>
      <c r="E12" s="498"/>
      <c r="F12" s="668" t="s">
        <v>440</v>
      </c>
      <c r="G12" s="668"/>
      <c r="H12" s="668"/>
      <c r="I12" s="668"/>
      <c r="J12" s="668"/>
      <c r="K12" s="668"/>
      <c r="L12" s="668"/>
      <c r="M12" s="668"/>
      <c r="N12" s="668"/>
      <c r="O12" s="668"/>
      <c r="P12" s="498"/>
      <c r="Q12" s="498"/>
      <c r="R12" s="498"/>
      <c r="S12" s="498"/>
      <c r="T12" s="498"/>
      <c r="U12" s="498"/>
      <c r="V12" s="498"/>
      <c r="W12" s="498"/>
      <c r="X12" s="670" t="s">
        <v>427</v>
      </c>
      <c r="Y12" s="670"/>
      <c r="Z12" s="499" t="s">
        <v>441</v>
      </c>
      <c r="AA12" s="499"/>
      <c r="AB12" s="499"/>
      <c r="AC12" s="499"/>
      <c r="AD12" s="501"/>
      <c r="AE12" s="502"/>
      <c r="AF12" s="502"/>
      <c r="AG12" s="502"/>
      <c r="AH12" s="502"/>
      <c r="AI12" s="502"/>
      <c r="AJ12" s="502"/>
      <c r="AK12" s="502"/>
      <c r="AL12" s="502"/>
      <c r="AM12" s="502"/>
      <c r="AN12" s="502"/>
      <c r="AO12" s="498"/>
      <c r="AP12" s="670" t="s">
        <v>432</v>
      </c>
      <c r="AQ12" s="670"/>
      <c r="AR12" s="500" t="s">
        <v>442</v>
      </c>
      <c r="AS12" s="500"/>
      <c r="AT12" s="500"/>
      <c r="AU12" s="500"/>
      <c r="AV12" s="500"/>
      <c r="AW12" s="500"/>
      <c r="AX12" s="500"/>
      <c r="AY12" s="500"/>
      <c r="AZ12" s="500"/>
      <c r="BA12" s="500"/>
      <c r="BB12" s="500"/>
      <c r="BC12" s="107"/>
      <c r="BD12" s="107"/>
      <c r="BE12" s="107"/>
      <c r="BF12" s="107"/>
      <c r="BG12" s="115"/>
      <c r="BH12" s="116"/>
      <c r="BI12" s="105"/>
      <c r="BJ12" s="105"/>
      <c r="BN12" s="117"/>
    </row>
    <row r="13" spans="1:67" x14ac:dyDescent="0.2">
      <c r="A13" s="114"/>
      <c r="B13" s="498"/>
      <c r="C13" s="668" t="s">
        <v>443</v>
      </c>
      <c r="D13" s="668"/>
      <c r="E13" s="502"/>
      <c r="F13" s="668" t="s">
        <v>444</v>
      </c>
      <c r="G13" s="668"/>
      <c r="H13" s="668"/>
      <c r="I13" s="668"/>
      <c r="J13" s="668"/>
      <c r="K13" s="668"/>
      <c r="L13" s="668"/>
      <c r="M13" s="668"/>
      <c r="N13" s="668"/>
      <c r="O13" s="668"/>
      <c r="P13" s="668"/>
      <c r="Q13" s="668"/>
      <c r="R13" s="668"/>
      <c r="S13" s="500"/>
      <c r="T13" s="500"/>
      <c r="U13" s="500"/>
      <c r="V13" s="500"/>
      <c r="W13" s="502"/>
      <c r="X13" s="670" t="s">
        <v>428</v>
      </c>
      <c r="Y13" s="670"/>
      <c r="Z13" s="668" t="s">
        <v>445</v>
      </c>
      <c r="AA13" s="668"/>
      <c r="AB13" s="668"/>
      <c r="AC13" s="668"/>
      <c r="AD13" s="668"/>
      <c r="AE13" s="668"/>
      <c r="AF13" s="668"/>
      <c r="AG13" s="668"/>
      <c r="AH13" s="668"/>
      <c r="AI13" s="668"/>
      <c r="AJ13" s="668"/>
      <c r="AK13" s="502"/>
      <c r="AL13" s="502"/>
      <c r="AM13" s="502"/>
      <c r="AN13" s="502"/>
      <c r="AO13" s="502"/>
      <c r="AP13" s="670" t="s">
        <v>426</v>
      </c>
      <c r="AQ13" s="670"/>
      <c r="AR13" s="668" t="s">
        <v>446</v>
      </c>
      <c r="AS13" s="668"/>
      <c r="AT13" s="668"/>
      <c r="AU13" s="668"/>
      <c r="AV13" s="668"/>
      <c r="AW13" s="668"/>
      <c r="AX13" s="668"/>
      <c r="AY13" s="668"/>
      <c r="AZ13" s="668"/>
      <c r="BA13" s="668"/>
      <c r="BB13" s="668"/>
      <c r="BC13" s="107"/>
      <c r="BD13" s="107"/>
      <c r="BE13" s="107"/>
      <c r="BF13" s="107"/>
      <c r="BG13" s="115"/>
      <c r="BH13" s="116"/>
      <c r="BI13" s="84"/>
      <c r="BJ13" s="84"/>
    </row>
    <row r="14" spans="1:67" ht="12.75" customHeight="1" x14ac:dyDescent="0.2">
      <c r="B14" s="502"/>
      <c r="C14" s="502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502"/>
      <c r="AN14" s="502"/>
      <c r="AO14" s="502"/>
      <c r="AP14" s="502"/>
      <c r="AQ14" s="502"/>
      <c r="AR14" s="502"/>
      <c r="AS14" s="502"/>
      <c r="AT14" s="502"/>
      <c r="AU14" s="502"/>
      <c r="AV14" s="502"/>
      <c r="AW14" s="502"/>
      <c r="AX14" s="502"/>
      <c r="AY14" s="502"/>
      <c r="AZ14" s="502"/>
      <c r="BA14" s="502"/>
      <c r="BB14" s="502"/>
      <c r="BC14" s="107"/>
      <c r="BD14" s="107"/>
      <c r="BE14" s="107"/>
      <c r="BF14" s="107"/>
      <c r="BG14" s="115"/>
      <c r="BH14" s="116"/>
    </row>
    <row r="15" spans="1:67" ht="13.2" x14ac:dyDescent="0.25">
      <c r="B15" s="86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7" ht="12.75" customHeight="1" x14ac:dyDescent="0.25">
      <c r="B16" s="86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</row>
    <row r="17" spans="2:60" ht="13.5" customHeight="1" x14ac:dyDescent="0.25">
      <c r="B17" s="86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</row>
    <row r="31" spans="2:60" ht="11.25" customHeight="1" x14ac:dyDescent="0.2"/>
    <row r="32" spans="2:60" ht="12" customHeight="1" x14ac:dyDescent="0.2"/>
  </sheetData>
  <mergeCells count="27">
    <mergeCell ref="C13:D13"/>
    <mergeCell ref="F13:R13"/>
    <mergeCell ref="X13:Y13"/>
    <mergeCell ref="Z13:AJ13"/>
    <mergeCell ref="AP13:AQ13"/>
    <mergeCell ref="C11:D11"/>
    <mergeCell ref="X11:Y11"/>
    <mergeCell ref="AP11:AQ11"/>
    <mergeCell ref="C12:D12"/>
    <mergeCell ref="F12:O12"/>
    <mergeCell ref="X12:Y12"/>
    <mergeCell ref="AP12:AQ12"/>
    <mergeCell ref="AU3:AX3"/>
    <mergeCell ref="AY3:BB3"/>
    <mergeCell ref="AQ3:AT3"/>
    <mergeCell ref="AR13:BB13"/>
    <mergeCell ref="M10:AG10"/>
    <mergeCell ref="AH2:AT2"/>
    <mergeCell ref="C3:G3"/>
    <mergeCell ref="H3:K3"/>
    <mergeCell ref="L3:O3"/>
    <mergeCell ref="P3:T3"/>
    <mergeCell ref="U3:Y3"/>
    <mergeCell ref="Z3:AC3"/>
    <mergeCell ref="AD3:AH3"/>
    <mergeCell ref="AI3:AL3"/>
    <mergeCell ref="AM3:AP3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>
      <selection activeCell="F19" sqref="F19"/>
    </sheetView>
  </sheetViews>
  <sheetFormatPr defaultColWidth="9.109375" defaultRowHeight="13.2" x14ac:dyDescent="0.25"/>
  <cols>
    <col min="1" max="5" width="9.109375" style="119"/>
    <col min="6" max="6" width="10" style="119" customWidth="1"/>
    <col min="7" max="7" width="10.6640625" style="119" customWidth="1"/>
    <col min="8" max="9" width="9.109375" style="119"/>
    <col min="10" max="10" width="11.33203125" style="119" customWidth="1"/>
    <col min="11" max="16384" width="9.109375" style="119"/>
  </cols>
  <sheetData>
    <row r="1" spans="1:11" ht="13.8" x14ac:dyDescent="0.25">
      <c r="A1" s="671" t="s">
        <v>457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</row>
    <row r="2" spans="1:11" ht="13.8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75.75" customHeight="1" x14ac:dyDescent="0.25">
      <c r="A3" s="672" t="s">
        <v>83</v>
      </c>
      <c r="B3" s="672" t="s">
        <v>456</v>
      </c>
      <c r="C3" s="672"/>
      <c r="D3" s="672"/>
      <c r="E3" s="672" t="s">
        <v>455</v>
      </c>
      <c r="F3" s="672" t="s">
        <v>454</v>
      </c>
      <c r="G3" s="672" t="s">
        <v>453</v>
      </c>
      <c r="H3" s="672" t="s">
        <v>452</v>
      </c>
      <c r="I3" s="672" t="s">
        <v>451</v>
      </c>
      <c r="J3" s="672" t="s">
        <v>450</v>
      </c>
      <c r="K3" s="672" t="s">
        <v>449</v>
      </c>
    </row>
    <row r="4" spans="1:11" ht="13.8" x14ac:dyDescent="0.25">
      <c r="A4" s="672"/>
      <c r="B4" s="121" t="s">
        <v>448</v>
      </c>
      <c r="C4" s="121" t="s">
        <v>100</v>
      </c>
      <c r="D4" s="121" t="s">
        <v>97</v>
      </c>
      <c r="E4" s="672"/>
      <c r="F4" s="672"/>
      <c r="G4" s="672"/>
      <c r="H4" s="672"/>
      <c r="I4" s="672"/>
      <c r="J4" s="672"/>
      <c r="K4" s="672"/>
    </row>
    <row r="5" spans="1:11" ht="12.75" customHeight="1" x14ac:dyDescent="0.25">
      <c r="A5" s="673" t="s">
        <v>424</v>
      </c>
      <c r="B5" s="673">
        <v>38</v>
      </c>
      <c r="C5" s="673">
        <v>1368</v>
      </c>
      <c r="D5" s="673">
        <f>C5/24</f>
        <v>57</v>
      </c>
      <c r="E5" s="673">
        <v>72</v>
      </c>
      <c r="F5" s="673"/>
      <c r="G5" s="673"/>
      <c r="H5" s="673"/>
      <c r="I5" s="673">
        <v>36</v>
      </c>
      <c r="J5" s="673">
        <v>11</v>
      </c>
      <c r="K5" s="673">
        <v>52</v>
      </c>
    </row>
    <row r="6" spans="1:11" ht="12.75" customHeight="1" x14ac:dyDescent="0.25">
      <c r="A6" s="674"/>
      <c r="B6" s="674"/>
      <c r="C6" s="674"/>
      <c r="D6" s="674"/>
      <c r="E6" s="674"/>
      <c r="F6" s="674"/>
      <c r="G6" s="674"/>
      <c r="H6" s="674"/>
      <c r="I6" s="674"/>
      <c r="J6" s="674"/>
      <c r="K6" s="674"/>
    </row>
    <row r="7" spans="1:11" ht="12.75" customHeight="1" x14ac:dyDescent="0.25">
      <c r="A7" s="672" t="s">
        <v>429</v>
      </c>
      <c r="B7" s="672">
        <v>12</v>
      </c>
      <c r="C7" s="673">
        <v>432</v>
      </c>
      <c r="D7" s="673">
        <f>C7/24</f>
        <v>18</v>
      </c>
      <c r="E7" s="672">
        <v>72</v>
      </c>
      <c r="F7" s="673">
        <v>936</v>
      </c>
      <c r="G7" s="672"/>
      <c r="H7" s="672"/>
      <c r="I7" s="672">
        <v>36</v>
      </c>
      <c r="J7" s="672">
        <v>11</v>
      </c>
      <c r="K7" s="672">
        <v>52</v>
      </c>
    </row>
    <row r="8" spans="1:11" ht="12.75" customHeight="1" x14ac:dyDescent="0.25">
      <c r="A8" s="672"/>
      <c r="B8" s="672"/>
      <c r="C8" s="674"/>
      <c r="D8" s="674"/>
      <c r="E8" s="672"/>
      <c r="F8" s="674"/>
      <c r="G8" s="672"/>
      <c r="H8" s="672"/>
      <c r="I8" s="672"/>
      <c r="J8" s="672"/>
      <c r="K8" s="672"/>
    </row>
    <row r="9" spans="1:11" ht="12.75" customHeight="1" x14ac:dyDescent="0.25">
      <c r="A9" s="672" t="s">
        <v>431</v>
      </c>
      <c r="B9" s="672">
        <v>7.5</v>
      </c>
      <c r="C9" s="673">
        <v>264</v>
      </c>
      <c r="D9" s="673">
        <f>C9/24</f>
        <v>11</v>
      </c>
      <c r="E9" s="672">
        <v>36</v>
      </c>
      <c r="F9" s="673">
        <v>1104</v>
      </c>
      <c r="G9" s="672"/>
      <c r="H9" s="672">
        <v>36</v>
      </c>
      <c r="I9" s="672">
        <v>36</v>
      </c>
      <c r="J9" s="672">
        <v>11</v>
      </c>
      <c r="K9" s="672">
        <v>52</v>
      </c>
    </row>
    <row r="10" spans="1:11" ht="12.75" customHeight="1" x14ac:dyDescent="0.25">
      <c r="A10" s="672"/>
      <c r="B10" s="672"/>
      <c r="C10" s="674"/>
      <c r="D10" s="674"/>
      <c r="E10" s="672"/>
      <c r="F10" s="674"/>
      <c r="G10" s="672"/>
      <c r="H10" s="672"/>
      <c r="I10" s="672"/>
      <c r="J10" s="672"/>
      <c r="K10" s="672"/>
    </row>
    <row r="11" spans="1:11" ht="12.75" customHeight="1" x14ac:dyDescent="0.25">
      <c r="A11" s="672" t="s">
        <v>433</v>
      </c>
      <c r="B11" s="672">
        <v>8.5</v>
      </c>
      <c r="C11" s="673">
        <v>300</v>
      </c>
      <c r="D11" s="673">
        <f>C11/24</f>
        <v>12.5</v>
      </c>
      <c r="E11" s="672">
        <v>36</v>
      </c>
      <c r="F11" s="673">
        <v>852</v>
      </c>
      <c r="G11" s="672">
        <v>216</v>
      </c>
      <c r="H11" s="672">
        <v>36</v>
      </c>
      <c r="I11" s="672">
        <v>36</v>
      </c>
      <c r="J11" s="672">
        <v>2</v>
      </c>
      <c r="K11" s="672">
        <v>43</v>
      </c>
    </row>
    <row r="12" spans="1:11" ht="12.75" customHeight="1" x14ac:dyDescent="0.25">
      <c r="A12" s="672"/>
      <c r="B12" s="672"/>
      <c r="C12" s="674"/>
      <c r="D12" s="674"/>
      <c r="E12" s="672"/>
      <c r="F12" s="674"/>
      <c r="G12" s="672"/>
      <c r="H12" s="672"/>
      <c r="I12" s="672"/>
      <c r="J12" s="672"/>
      <c r="K12" s="672"/>
    </row>
    <row r="13" spans="1:11" ht="12.75" customHeight="1" x14ac:dyDescent="0.25">
      <c r="A13" s="672" t="s">
        <v>447</v>
      </c>
      <c r="B13" s="672">
        <f t="shared" ref="B13:K13" si="0">SUM(B5:B11)</f>
        <v>66</v>
      </c>
      <c r="C13" s="675">
        <f t="shared" si="0"/>
        <v>2364</v>
      </c>
      <c r="D13" s="672">
        <f t="shared" si="0"/>
        <v>98.5</v>
      </c>
      <c r="E13" s="672">
        <f t="shared" si="0"/>
        <v>216</v>
      </c>
      <c r="F13" s="672">
        <f t="shared" si="0"/>
        <v>2892</v>
      </c>
      <c r="G13" s="672">
        <f t="shared" si="0"/>
        <v>216</v>
      </c>
      <c r="H13" s="672">
        <f t="shared" si="0"/>
        <v>72</v>
      </c>
      <c r="I13" s="672">
        <f t="shared" si="0"/>
        <v>144</v>
      </c>
      <c r="J13" s="672">
        <f t="shared" si="0"/>
        <v>35</v>
      </c>
      <c r="K13" s="672">
        <f t="shared" si="0"/>
        <v>199</v>
      </c>
    </row>
    <row r="14" spans="1:11" ht="12.75" customHeight="1" x14ac:dyDescent="0.25">
      <c r="A14" s="672"/>
      <c r="B14" s="672"/>
      <c r="C14" s="675"/>
      <c r="D14" s="672"/>
      <c r="E14" s="672"/>
      <c r="F14" s="672"/>
      <c r="G14" s="672"/>
      <c r="H14" s="672"/>
      <c r="I14" s="672"/>
      <c r="J14" s="672"/>
      <c r="K14" s="672"/>
    </row>
    <row r="15" spans="1:11" ht="13.8" x14ac:dyDescent="0.2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</row>
    <row r="16" spans="1:11" ht="13.8" x14ac:dyDescent="0.25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</row>
  </sheetData>
  <mergeCells count="65">
    <mergeCell ref="K13:K14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1:K12"/>
    <mergeCell ref="G9:G10"/>
    <mergeCell ref="H9:H10"/>
    <mergeCell ref="I9:I10"/>
    <mergeCell ref="J9:J10"/>
    <mergeCell ref="K9:K10"/>
    <mergeCell ref="G11:G12"/>
    <mergeCell ref="H11:H12"/>
    <mergeCell ref="I11:I12"/>
    <mergeCell ref="J11:J12"/>
    <mergeCell ref="A11:A12"/>
    <mergeCell ref="B11:B12"/>
    <mergeCell ref="C11:C12"/>
    <mergeCell ref="D11:D12"/>
    <mergeCell ref="E11:E12"/>
    <mergeCell ref="F11:F12"/>
    <mergeCell ref="F9:F10"/>
    <mergeCell ref="F7:F8"/>
    <mergeCell ref="G7:G8"/>
    <mergeCell ref="H7:H8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F5:F6"/>
    <mergeCell ref="K7:K8"/>
    <mergeCell ref="G5:G6"/>
    <mergeCell ref="H5:H6"/>
    <mergeCell ref="I5:I6"/>
    <mergeCell ref="J5:J6"/>
    <mergeCell ref="K5:K6"/>
    <mergeCell ref="J7:J8"/>
    <mergeCell ref="I7:I8"/>
    <mergeCell ref="A5:A6"/>
    <mergeCell ref="B5:B6"/>
    <mergeCell ref="C5:C6"/>
    <mergeCell ref="D5:D6"/>
    <mergeCell ref="E5:E6"/>
    <mergeCell ref="A1:K1"/>
    <mergeCell ref="A3:A4"/>
    <mergeCell ref="B3:D3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54"/>
  <sheetViews>
    <sheetView topLeftCell="A66" zoomScale="90" zoomScaleNormal="90" workbookViewId="0">
      <selection activeCell="B75" sqref="B75:V75"/>
    </sheetView>
  </sheetViews>
  <sheetFormatPr defaultColWidth="9.109375" defaultRowHeight="13.2" outlineLevelRow="4" outlineLevelCol="2" x14ac:dyDescent="0.25"/>
  <cols>
    <col min="1" max="1" width="8.5546875" style="123" customWidth="1"/>
    <col min="2" max="2" width="30.109375" style="123" customWidth="1"/>
    <col min="3" max="3" width="4.109375" style="123" customWidth="1"/>
    <col min="4" max="4" width="4.5546875" style="123" customWidth="1"/>
    <col min="5" max="5" width="4.33203125" style="123" customWidth="1"/>
    <col min="6" max="6" width="4.88671875" style="123" customWidth="1"/>
    <col min="7" max="7" width="5.33203125" style="124" customWidth="1" outlineLevel="1"/>
    <col min="8" max="8" width="6" style="123" customWidth="1" outlineLevel="1"/>
    <col min="9" max="9" width="5.6640625" style="123" customWidth="1" outlineLevel="1"/>
    <col min="10" max="12" width="5.33203125" style="123" customWidth="1" outlineLevel="1"/>
    <col min="13" max="13" width="7.6640625" style="123" customWidth="1" outlineLevel="1"/>
    <col min="14" max="14" width="4.6640625" style="123" customWidth="1" outlineLevel="1"/>
    <col min="15" max="15" width="5.44140625" style="123" customWidth="1" outlineLevel="2"/>
    <col min="16" max="16" width="6.109375" style="123" customWidth="1" outlineLevel="2"/>
    <col min="17" max="17" width="5.6640625" style="123" customWidth="1" outlineLevel="2"/>
    <col min="18" max="18" width="5.44140625" style="123" customWidth="1" outlineLevel="2"/>
    <col min="19" max="19" width="5.6640625" style="123" customWidth="1" outlineLevel="2"/>
    <col min="20" max="20" width="5.33203125" style="123" customWidth="1" outlineLevel="1"/>
    <col min="21" max="21" width="5.44140625" style="329" customWidth="1" outlineLevel="1"/>
    <col min="22" max="22" width="5.44140625" style="123" customWidth="1" outlineLevel="1"/>
    <col min="23" max="23" width="9.109375" style="126"/>
    <col min="24" max="24" width="9.109375" style="123"/>
    <col min="25" max="25" width="9.109375" style="124"/>
    <col min="26" max="16384" width="9.109375" style="123"/>
  </cols>
  <sheetData>
    <row r="1" spans="1:35" ht="21" customHeight="1" x14ac:dyDescent="0.25">
      <c r="A1" s="676" t="s">
        <v>458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122"/>
    </row>
    <row r="2" spans="1:35" ht="24.75" customHeight="1" x14ac:dyDescent="0.25">
      <c r="A2" s="677" t="s">
        <v>459</v>
      </c>
      <c r="B2" s="680" t="s">
        <v>460</v>
      </c>
      <c r="C2" s="683" t="s">
        <v>461</v>
      </c>
      <c r="D2" s="683"/>
      <c r="E2" s="683"/>
      <c r="F2" s="684" t="s">
        <v>462</v>
      </c>
      <c r="G2" s="684"/>
      <c r="H2" s="684"/>
      <c r="I2" s="684"/>
      <c r="J2" s="685"/>
      <c r="K2" s="686" t="s">
        <v>463</v>
      </c>
      <c r="L2" s="686" t="s">
        <v>464</v>
      </c>
      <c r="M2" s="687" t="s">
        <v>465</v>
      </c>
      <c r="N2" s="688"/>
      <c r="O2" s="689" t="s">
        <v>466</v>
      </c>
      <c r="P2" s="690"/>
      <c r="Q2" s="690"/>
      <c r="R2" s="690"/>
      <c r="S2" s="690"/>
      <c r="T2" s="690"/>
      <c r="U2" s="690"/>
      <c r="V2" s="691"/>
      <c r="W2" s="125"/>
    </row>
    <row r="3" spans="1:35" ht="12.75" customHeight="1" x14ac:dyDescent="0.25">
      <c r="A3" s="678"/>
      <c r="B3" s="681"/>
      <c r="C3" s="692" t="s">
        <v>467</v>
      </c>
      <c r="D3" s="677" t="s">
        <v>468</v>
      </c>
      <c r="E3" s="693" t="s">
        <v>469</v>
      </c>
      <c r="F3" s="693" t="s">
        <v>470</v>
      </c>
      <c r="G3" s="704" t="s">
        <v>471</v>
      </c>
      <c r="H3" s="696" t="s">
        <v>472</v>
      </c>
      <c r="I3" s="706"/>
      <c r="J3" s="697"/>
      <c r="K3" s="686"/>
      <c r="L3" s="686"/>
      <c r="M3" s="696" t="s">
        <v>473</v>
      </c>
      <c r="N3" s="697"/>
      <c r="O3" s="695" t="s">
        <v>474</v>
      </c>
      <c r="P3" s="695"/>
      <c r="Q3" s="695" t="s">
        <v>475</v>
      </c>
      <c r="R3" s="695"/>
      <c r="S3" s="695" t="s">
        <v>476</v>
      </c>
      <c r="T3" s="695"/>
      <c r="U3" s="696" t="s">
        <v>477</v>
      </c>
      <c r="V3" s="697"/>
    </row>
    <row r="4" spans="1:35" ht="134.25" customHeight="1" x14ac:dyDescent="0.25">
      <c r="A4" s="679"/>
      <c r="B4" s="682"/>
      <c r="C4" s="692"/>
      <c r="D4" s="679"/>
      <c r="E4" s="694"/>
      <c r="F4" s="694"/>
      <c r="G4" s="705"/>
      <c r="H4" s="127" t="s">
        <v>456</v>
      </c>
      <c r="I4" s="127" t="s">
        <v>478</v>
      </c>
      <c r="J4" s="128" t="s">
        <v>479</v>
      </c>
      <c r="K4" s="686"/>
      <c r="L4" s="686"/>
      <c r="M4" s="129" t="s">
        <v>480</v>
      </c>
      <c r="N4" s="130" t="s">
        <v>481</v>
      </c>
      <c r="O4" s="131" t="s">
        <v>482</v>
      </c>
      <c r="P4" s="132" t="s">
        <v>483</v>
      </c>
      <c r="Q4" s="132" t="s">
        <v>484</v>
      </c>
      <c r="R4" s="132" t="s">
        <v>485</v>
      </c>
      <c r="S4" s="132" t="s">
        <v>486</v>
      </c>
      <c r="T4" s="132" t="s">
        <v>487</v>
      </c>
      <c r="U4" s="133" t="s">
        <v>488</v>
      </c>
      <c r="V4" s="132" t="s">
        <v>489</v>
      </c>
      <c r="X4" s="134"/>
      <c r="Y4" s="135"/>
      <c r="Z4" s="134"/>
      <c r="AA4" s="134"/>
      <c r="AB4" s="134"/>
      <c r="AC4" s="134"/>
      <c r="AD4" s="134"/>
      <c r="AE4" s="134"/>
      <c r="AF4" s="134"/>
      <c r="AG4" s="134"/>
      <c r="AH4" s="134"/>
      <c r="AI4" s="134"/>
    </row>
    <row r="5" spans="1:35" s="139" customFormat="1" x14ac:dyDescent="0.25">
      <c r="A5" s="136">
        <v>1</v>
      </c>
      <c r="B5" s="137">
        <v>2</v>
      </c>
      <c r="C5" s="136">
        <v>3</v>
      </c>
      <c r="D5" s="330">
        <v>4</v>
      </c>
      <c r="E5" s="136">
        <v>5</v>
      </c>
      <c r="F5" s="330">
        <v>6</v>
      </c>
      <c r="G5" s="136">
        <v>7</v>
      </c>
      <c r="H5" s="330">
        <v>8</v>
      </c>
      <c r="I5" s="136">
        <v>9</v>
      </c>
      <c r="J5" s="330">
        <v>10</v>
      </c>
      <c r="K5" s="136">
        <v>11</v>
      </c>
      <c r="L5" s="330">
        <v>12</v>
      </c>
      <c r="M5" s="136">
        <v>13</v>
      </c>
      <c r="N5" s="330">
        <v>14</v>
      </c>
      <c r="O5" s="136">
        <v>15</v>
      </c>
      <c r="P5" s="330">
        <v>16</v>
      </c>
      <c r="Q5" s="136">
        <v>17</v>
      </c>
      <c r="R5" s="330">
        <v>18</v>
      </c>
      <c r="S5" s="136">
        <v>19</v>
      </c>
      <c r="T5" s="330">
        <v>20</v>
      </c>
      <c r="U5" s="136">
        <v>21</v>
      </c>
      <c r="V5" s="330">
        <v>22</v>
      </c>
      <c r="W5" s="126"/>
      <c r="X5" s="138"/>
      <c r="Y5" s="135"/>
      <c r="Z5" s="138"/>
      <c r="AA5" s="138"/>
      <c r="AB5" s="138"/>
      <c r="AC5" s="138"/>
      <c r="AD5" s="138"/>
      <c r="AE5" s="138"/>
      <c r="AF5" s="138"/>
      <c r="AG5" s="138"/>
      <c r="AH5" s="138"/>
      <c r="AI5" s="138"/>
    </row>
    <row r="6" spans="1:35" s="139" customFormat="1" x14ac:dyDescent="0.25">
      <c r="A6" s="136"/>
      <c r="B6" s="343" t="s">
        <v>490</v>
      </c>
      <c r="C6" s="136"/>
      <c r="D6" s="140"/>
      <c r="E6" s="344"/>
      <c r="F6" s="140"/>
      <c r="G6" s="136"/>
      <c r="H6" s="343"/>
      <c r="I6" s="136"/>
      <c r="J6" s="343"/>
      <c r="K6" s="136"/>
      <c r="L6" s="343"/>
      <c r="M6" s="136"/>
      <c r="N6" s="343"/>
      <c r="O6" s="136">
        <v>18</v>
      </c>
      <c r="P6" s="343">
        <v>19</v>
      </c>
      <c r="Q6" s="136">
        <v>21</v>
      </c>
      <c r="R6" s="343">
        <v>16</v>
      </c>
      <c r="S6" s="136">
        <v>22</v>
      </c>
      <c r="T6" s="343">
        <v>10</v>
      </c>
      <c r="U6" s="136">
        <v>22</v>
      </c>
      <c r="V6" s="343">
        <v>0</v>
      </c>
      <c r="W6" s="126"/>
      <c r="X6" s="138"/>
      <c r="Y6" s="135"/>
      <c r="Z6" s="138"/>
      <c r="AA6" s="138"/>
      <c r="AB6" s="138"/>
      <c r="AC6" s="138"/>
      <c r="AD6" s="138"/>
      <c r="AE6" s="138"/>
      <c r="AF6" s="138"/>
      <c r="AG6" s="138"/>
      <c r="AH6" s="138"/>
      <c r="AI6" s="138"/>
    </row>
    <row r="7" spans="1:35" s="139" customFormat="1" hidden="1" x14ac:dyDescent="0.25">
      <c r="A7" s="136"/>
      <c r="B7" s="137" t="s">
        <v>490</v>
      </c>
      <c r="C7" s="137"/>
      <c r="D7" s="140"/>
      <c r="E7" s="140"/>
      <c r="F7" s="140"/>
      <c r="G7" s="141"/>
      <c r="H7" s="137"/>
      <c r="I7" s="137"/>
      <c r="J7" s="137"/>
      <c r="K7" s="137"/>
      <c r="L7" s="137"/>
      <c r="M7" s="137"/>
      <c r="N7" s="137"/>
      <c r="O7" s="137">
        <v>18</v>
      </c>
      <c r="P7" s="137">
        <v>20</v>
      </c>
      <c r="Q7" s="137">
        <v>22</v>
      </c>
      <c r="R7" s="137">
        <v>16</v>
      </c>
      <c r="S7" s="137">
        <v>22</v>
      </c>
      <c r="T7" s="137">
        <v>16</v>
      </c>
      <c r="U7" s="142">
        <v>22</v>
      </c>
      <c r="V7" s="137">
        <v>10</v>
      </c>
      <c r="W7" s="126"/>
      <c r="X7" s="138"/>
      <c r="Y7" s="135"/>
      <c r="Z7" s="138"/>
      <c r="AA7" s="138"/>
      <c r="AB7" s="138"/>
      <c r="AC7" s="138"/>
      <c r="AD7" s="138"/>
      <c r="AE7" s="138"/>
      <c r="AF7" s="138"/>
      <c r="AG7" s="138"/>
      <c r="AH7" s="138"/>
      <c r="AI7" s="138"/>
    </row>
    <row r="8" spans="1:35" s="139" customFormat="1" x14ac:dyDescent="0.25">
      <c r="A8" s="136"/>
      <c r="B8" s="143" t="s">
        <v>491</v>
      </c>
      <c r="C8" s="137"/>
      <c r="D8" s="140"/>
      <c r="E8" s="140"/>
      <c r="F8" s="140"/>
      <c r="G8" s="141"/>
      <c r="H8" s="137"/>
      <c r="I8" s="137"/>
      <c r="J8" s="137"/>
      <c r="K8" s="137"/>
      <c r="L8" s="137"/>
      <c r="M8" s="137"/>
      <c r="N8" s="137"/>
      <c r="O8" s="144">
        <f>SUM(O10:O24)/O7</f>
        <v>36</v>
      </c>
      <c r="P8" s="144">
        <f>SUM(P10:P24)/P7</f>
        <v>36</v>
      </c>
      <c r="Q8" s="144">
        <f>(Q60-36)/Q7</f>
        <v>36</v>
      </c>
      <c r="R8" s="144">
        <f>(R60-36)/R7</f>
        <v>36</v>
      </c>
      <c r="S8" s="144">
        <f>(S87-36)/S7</f>
        <v>36</v>
      </c>
      <c r="T8" s="144">
        <f>(T87-36)/T7</f>
        <v>36</v>
      </c>
      <c r="U8" s="144">
        <f>(U113-36)/U7</f>
        <v>36</v>
      </c>
      <c r="V8" s="144">
        <f>(V113-36-216)/V7</f>
        <v>36</v>
      </c>
      <c r="W8" s="126"/>
      <c r="X8" s="138"/>
      <c r="Y8" s="135"/>
      <c r="Z8" s="138"/>
      <c r="AA8" s="138"/>
      <c r="AB8" s="138"/>
      <c r="AC8" s="138"/>
      <c r="AD8" s="138"/>
      <c r="AE8" s="138"/>
      <c r="AF8" s="138"/>
      <c r="AG8" s="138"/>
      <c r="AH8" s="138"/>
      <c r="AI8" s="138"/>
    </row>
    <row r="9" spans="1:35" s="153" customFormat="1" ht="13.8" outlineLevel="3" x14ac:dyDescent="0.3">
      <c r="A9" s="145" t="s">
        <v>492</v>
      </c>
      <c r="B9" s="146" t="s">
        <v>493</v>
      </c>
      <c r="C9" s="147"/>
      <c r="D9" s="147"/>
      <c r="E9" s="147"/>
      <c r="F9" s="147"/>
      <c r="G9" s="148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9"/>
      <c r="V9" s="147"/>
      <c r="W9" s="150"/>
      <c r="X9" s="151"/>
      <c r="Y9" s="152"/>
      <c r="Z9" s="151"/>
      <c r="AA9" s="151"/>
      <c r="AB9" s="151"/>
      <c r="AC9" s="151"/>
      <c r="AD9" s="151"/>
      <c r="AE9" s="151"/>
      <c r="AF9" s="151"/>
      <c r="AG9" s="151"/>
      <c r="AH9" s="151"/>
      <c r="AI9" s="151"/>
    </row>
    <row r="10" spans="1:35" s="153" customFormat="1" outlineLevel="4" x14ac:dyDescent="0.3">
      <c r="A10" s="342" t="s">
        <v>670</v>
      </c>
      <c r="B10" s="331" t="s">
        <v>131</v>
      </c>
      <c r="C10" s="332">
        <v>2</v>
      </c>
      <c r="D10" s="333">
        <v>1</v>
      </c>
      <c r="E10" s="332">
        <v>1</v>
      </c>
      <c r="F10" s="331">
        <f>G10/24</f>
        <v>5</v>
      </c>
      <c r="G10" s="334">
        <v>120</v>
      </c>
      <c r="H10" s="335">
        <v>48</v>
      </c>
      <c r="I10" s="335">
        <v>72</v>
      </c>
      <c r="J10" s="147"/>
      <c r="K10" s="336"/>
      <c r="L10" s="336"/>
      <c r="M10" s="336"/>
      <c r="N10" s="147"/>
      <c r="O10" s="337">
        <v>48</v>
      </c>
      <c r="P10" s="337">
        <v>72</v>
      </c>
      <c r="Q10" s="147"/>
      <c r="R10" s="147"/>
      <c r="S10" s="147"/>
      <c r="T10" s="147"/>
      <c r="U10" s="149"/>
      <c r="V10" s="147"/>
      <c r="W10" s="150"/>
      <c r="X10" s="151">
        <f>SUM(H10:I10)</f>
        <v>120</v>
      </c>
      <c r="Y10" s="152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</row>
    <row r="11" spans="1:35" s="153" customFormat="1" outlineLevel="4" x14ac:dyDescent="0.3">
      <c r="A11" s="342" t="s">
        <v>671</v>
      </c>
      <c r="B11" s="331" t="s">
        <v>140</v>
      </c>
      <c r="C11" s="333">
        <v>1</v>
      </c>
      <c r="D11" s="332">
        <v>2</v>
      </c>
      <c r="E11" s="332">
        <v>1</v>
      </c>
      <c r="F11" s="331">
        <f t="shared" ref="F11:F23" si="0">G11/24</f>
        <v>2.5</v>
      </c>
      <c r="G11" s="334">
        <v>60</v>
      </c>
      <c r="H11" s="335">
        <v>23</v>
      </c>
      <c r="I11" s="335">
        <v>37</v>
      </c>
      <c r="J11" s="147"/>
      <c r="K11" s="336"/>
      <c r="L11" s="336"/>
      <c r="M11" s="336"/>
      <c r="N11" s="147"/>
      <c r="O11" s="337">
        <v>60</v>
      </c>
      <c r="P11" s="337"/>
      <c r="Q11" s="147"/>
      <c r="R11" s="147"/>
      <c r="S11" s="147"/>
      <c r="T11" s="147"/>
      <c r="U11" s="149"/>
      <c r="V11" s="147"/>
      <c r="W11" s="150"/>
      <c r="X11" s="151">
        <f t="shared" ref="X11:X25" si="1">SUM(H11:I11)</f>
        <v>60</v>
      </c>
      <c r="Y11" s="152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</row>
    <row r="12" spans="1:35" s="153" customFormat="1" outlineLevel="4" x14ac:dyDescent="0.3">
      <c r="A12" s="342" t="s">
        <v>672</v>
      </c>
      <c r="B12" s="331" t="s">
        <v>494</v>
      </c>
      <c r="C12" s="332"/>
      <c r="D12" s="333">
        <v>2</v>
      </c>
      <c r="E12" s="333"/>
      <c r="F12" s="331">
        <f t="shared" si="0"/>
        <v>2.5</v>
      </c>
      <c r="G12" s="334">
        <v>60</v>
      </c>
      <c r="H12" s="335">
        <v>37</v>
      </c>
      <c r="I12" s="335">
        <v>23</v>
      </c>
      <c r="J12" s="147"/>
      <c r="K12" s="331"/>
      <c r="L12" s="336"/>
      <c r="M12" s="331"/>
      <c r="N12" s="147"/>
      <c r="O12" s="338">
        <v>18</v>
      </c>
      <c r="P12" s="337">
        <v>42</v>
      </c>
      <c r="Q12" s="147"/>
      <c r="R12" s="147"/>
      <c r="S12" s="147"/>
      <c r="T12" s="147"/>
      <c r="U12" s="149"/>
      <c r="V12" s="147"/>
      <c r="W12" s="150"/>
      <c r="X12" s="151">
        <f t="shared" si="1"/>
        <v>60</v>
      </c>
      <c r="Y12" s="152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</row>
    <row r="13" spans="1:35" s="153" customFormat="1" outlineLevel="4" x14ac:dyDescent="0.3">
      <c r="A13" s="342" t="s">
        <v>673</v>
      </c>
      <c r="B13" s="339" t="s">
        <v>165</v>
      </c>
      <c r="C13" s="333"/>
      <c r="D13" s="332">
        <v>2</v>
      </c>
      <c r="E13" s="332">
        <v>1</v>
      </c>
      <c r="F13" s="331">
        <f t="shared" si="0"/>
        <v>5</v>
      </c>
      <c r="G13" s="334">
        <v>120</v>
      </c>
      <c r="H13" s="335">
        <v>20</v>
      </c>
      <c r="I13" s="335">
        <v>100</v>
      </c>
      <c r="J13" s="147"/>
      <c r="K13" s="331"/>
      <c r="L13" s="336"/>
      <c r="M13" s="331"/>
      <c r="N13" s="147"/>
      <c r="O13" s="337">
        <v>42</v>
      </c>
      <c r="P13" s="337">
        <v>78</v>
      </c>
      <c r="Q13" s="147"/>
      <c r="R13" s="147"/>
      <c r="S13" s="147"/>
      <c r="T13" s="147"/>
      <c r="U13" s="149"/>
      <c r="V13" s="147"/>
      <c r="W13" s="150"/>
      <c r="X13" s="151">
        <f t="shared" si="1"/>
        <v>120</v>
      </c>
      <c r="Y13" s="152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</row>
    <row r="14" spans="1:35" s="153" customFormat="1" outlineLevel="4" x14ac:dyDescent="0.3">
      <c r="A14" s="342" t="s">
        <v>674</v>
      </c>
      <c r="B14" s="331" t="s">
        <v>175</v>
      </c>
      <c r="C14" s="332">
        <v>1</v>
      </c>
      <c r="D14" s="333">
        <v>2</v>
      </c>
      <c r="E14" s="333"/>
      <c r="F14" s="331">
        <f t="shared" si="0"/>
        <v>4</v>
      </c>
      <c r="G14" s="334">
        <v>96</v>
      </c>
      <c r="H14" s="335">
        <v>96</v>
      </c>
      <c r="I14" s="335"/>
      <c r="J14" s="147"/>
      <c r="K14" s="331"/>
      <c r="L14" s="336"/>
      <c r="M14" s="331"/>
      <c r="N14" s="147"/>
      <c r="O14" s="337">
        <v>72</v>
      </c>
      <c r="P14" s="337">
        <v>24</v>
      </c>
      <c r="Q14" s="147"/>
      <c r="R14" s="147"/>
      <c r="S14" s="147"/>
      <c r="T14" s="147"/>
      <c r="U14" s="149"/>
      <c r="V14" s="147"/>
      <c r="W14" s="150"/>
      <c r="X14" s="151">
        <f t="shared" si="1"/>
        <v>96</v>
      </c>
      <c r="Y14" s="152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</row>
    <row r="15" spans="1:35" s="153" customFormat="1" outlineLevel="4" x14ac:dyDescent="0.3">
      <c r="A15" s="342" t="s">
        <v>675</v>
      </c>
      <c r="B15" s="331" t="s">
        <v>192</v>
      </c>
      <c r="C15" s="332">
        <v>2</v>
      </c>
      <c r="D15" s="332">
        <v>1</v>
      </c>
      <c r="E15" s="332">
        <v>2</v>
      </c>
      <c r="F15" s="331">
        <f>G15/24</f>
        <v>7</v>
      </c>
      <c r="G15" s="334">
        <v>168</v>
      </c>
      <c r="H15" s="335">
        <v>48</v>
      </c>
      <c r="I15" s="335">
        <v>120</v>
      </c>
      <c r="J15" s="147"/>
      <c r="K15" s="331"/>
      <c r="L15" s="336"/>
      <c r="M15" s="331"/>
      <c r="N15" s="147"/>
      <c r="O15" s="337">
        <v>90</v>
      </c>
      <c r="P15" s="337">
        <v>78</v>
      </c>
      <c r="Q15" s="147"/>
      <c r="R15" s="147"/>
      <c r="S15" s="147"/>
      <c r="T15" s="147"/>
      <c r="U15" s="149"/>
      <c r="V15" s="147"/>
      <c r="W15" s="150"/>
      <c r="X15" s="151">
        <f t="shared" si="1"/>
        <v>168</v>
      </c>
      <c r="Y15" s="152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</row>
    <row r="16" spans="1:35" s="153" customFormat="1" outlineLevel="4" x14ac:dyDescent="0.3">
      <c r="A16" s="342" t="s">
        <v>676</v>
      </c>
      <c r="B16" s="331" t="s">
        <v>201</v>
      </c>
      <c r="C16" s="333"/>
      <c r="D16" s="332">
        <v>2</v>
      </c>
      <c r="E16" s="333"/>
      <c r="F16" s="331">
        <f>G16/24</f>
        <v>3</v>
      </c>
      <c r="G16" s="334">
        <v>72</v>
      </c>
      <c r="H16" s="335">
        <v>36</v>
      </c>
      <c r="I16" s="335">
        <v>36</v>
      </c>
      <c r="J16" s="147"/>
      <c r="K16" s="331"/>
      <c r="L16" s="336"/>
      <c r="M16" s="331"/>
      <c r="N16" s="147"/>
      <c r="O16" s="338">
        <v>36</v>
      </c>
      <c r="P16" s="337">
        <v>36</v>
      </c>
      <c r="Q16" s="147"/>
      <c r="R16" s="147"/>
      <c r="S16" s="147"/>
      <c r="T16" s="147"/>
      <c r="U16" s="149"/>
      <c r="V16" s="147"/>
      <c r="W16" s="150"/>
      <c r="X16" s="151">
        <f t="shared" si="1"/>
        <v>72</v>
      </c>
      <c r="Y16" s="152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</row>
    <row r="17" spans="1:35" s="153" customFormat="1" ht="26.4" outlineLevel="4" x14ac:dyDescent="0.3">
      <c r="A17" s="342" t="s">
        <v>677</v>
      </c>
      <c r="B17" s="340" t="s">
        <v>236</v>
      </c>
      <c r="C17" s="333"/>
      <c r="D17" s="332">
        <v>1</v>
      </c>
      <c r="E17" s="333"/>
      <c r="F17" s="331">
        <f>G17/24</f>
        <v>4</v>
      </c>
      <c r="G17" s="334">
        <v>96</v>
      </c>
      <c r="H17" s="335">
        <v>30</v>
      </c>
      <c r="I17" s="335">
        <v>66</v>
      </c>
      <c r="J17" s="147"/>
      <c r="K17" s="331"/>
      <c r="L17" s="336"/>
      <c r="M17" s="331"/>
      <c r="N17" s="147"/>
      <c r="O17" s="337">
        <v>36</v>
      </c>
      <c r="P17" s="337">
        <v>60</v>
      </c>
      <c r="Q17" s="147"/>
      <c r="R17" s="147"/>
      <c r="S17" s="147"/>
      <c r="T17" s="147"/>
      <c r="U17" s="149"/>
      <c r="V17" s="147"/>
      <c r="W17" s="150"/>
      <c r="X17" s="151">
        <f t="shared" si="1"/>
        <v>96</v>
      </c>
      <c r="Y17" s="152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</row>
    <row r="18" spans="1:35" s="153" customFormat="1" outlineLevel="4" x14ac:dyDescent="0.3">
      <c r="A18" s="342" t="s">
        <v>678</v>
      </c>
      <c r="B18" s="340" t="s">
        <v>495</v>
      </c>
      <c r="C18" s="333"/>
      <c r="D18" s="332">
        <v>1.2</v>
      </c>
      <c r="E18" s="333"/>
      <c r="F18" s="331">
        <f>G18/24</f>
        <v>6.5</v>
      </c>
      <c r="G18" s="334">
        <v>156</v>
      </c>
      <c r="H18" s="335">
        <v>8</v>
      </c>
      <c r="I18" s="335">
        <v>148</v>
      </c>
      <c r="J18" s="147"/>
      <c r="K18" s="331"/>
      <c r="L18" s="336"/>
      <c r="M18" s="331"/>
      <c r="N18" s="147"/>
      <c r="O18" s="337">
        <v>72</v>
      </c>
      <c r="P18" s="337">
        <v>84</v>
      </c>
      <c r="Q18" s="147"/>
      <c r="R18" s="147"/>
      <c r="S18" s="147"/>
      <c r="T18" s="147"/>
      <c r="U18" s="149"/>
      <c r="V18" s="147"/>
      <c r="W18" s="150"/>
      <c r="X18" s="151">
        <f t="shared" si="1"/>
        <v>156</v>
      </c>
      <c r="Y18" s="152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</row>
    <row r="19" spans="1:35" s="153" customFormat="1" ht="13.8" outlineLevel="4" x14ac:dyDescent="0.3">
      <c r="A19" s="342"/>
      <c r="B19" s="341" t="s">
        <v>668</v>
      </c>
      <c r="C19" s="333"/>
      <c r="D19" s="332"/>
      <c r="E19" s="333"/>
      <c r="F19" s="331"/>
      <c r="G19" s="334"/>
      <c r="H19" s="335"/>
      <c r="I19" s="335"/>
      <c r="J19" s="147"/>
      <c r="K19" s="331"/>
      <c r="L19" s="336"/>
      <c r="M19" s="331"/>
      <c r="N19" s="147"/>
      <c r="O19" s="338"/>
      <c r="P19" s="337"/>
      <c r="Q19" s="147"/>
      <c r="R19" s="147"/>
      <c r="S19" s="147"/>
      <c r="T19" s="147"/>
      <c r="U19" s="149"/>
      <c r="V19" s="147"/>
      <c r="W19" s="150"/>
      <c r="X19" s="151">
        <f t="shared" si="1"/>
        <v>0</v>
      </c>
      <c r="Y19" s="152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</row>
    <row r="20" spans="1:35" s="153" customFormat="1" outlineLevel="4" x14ac:dyDescent="0.3">
      <c r="A20" s="342" t="s">
        <v>679</v>
      </c>
      <c r="B20" s="331" t="s">
        <v>215</v>
      </c>
      <c r="C20" s="333"/>
      <c r="D20" s="333">
        <v>2</v>
      </c>
      <c r="E20" s="332">
        <v>2</v>
      </c>
      <c r="F20" s="331">
        <f t="shared" si="0"/>
        <v>6</v>
      </c>
      <c r="G20" s="334">
        <v>144</v>
      </c>
      <c r="H20" s="335">
        <v>114</v>
      </c>
      <c r="I20" s="335">
        <v>30</v>
      </c>
      <c r="J20" s="147"/>
      <c r="K20" s="331"/>
      <c r="L20" s="336"/>
      <c r="M20" s="331"/>
      <c r="N20" s="147"/>
      <c r="O20" s="337">
        <v>66</v>
      </c>
      <c r="P20" s="337">
        <v>78</v>
      </c>
      <c r="Q20" s="147"/>
      <c r="R20" s="147"/>
      <c r="S20" s="147"/>
      <c r="T20" s="147"/>
      <c r="U20" s="149"/>
      <c r="V20" s="147"/>
      <c r="W20" s="150"/>
      <c r="X20" s="151">
        <f t="shared" si="1"/>
        <v>144</v>
      </c>
      <c r="Y20" s="152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</row>
    <row r="21" spans="1:35" s="153" customFormat="1" outlineLevel="4" x14ac:dyDescent="0.3">
      <c r="A21" s="342" t="s">
        <v>680</v>
      </c>
      <c r="B21" s="331" t="s">
        <v>221</v>
      </c>
      <c r="C21" s="332">
        <v>2</v>
      </c>
      <c r="D21" s="332">
        <v>1</v>
      </c>
      <c r="E21" s="332">
        <v>1</v>
      </c>
      <c r="F21" s="331">
        <f t="shared" si="0"/>
        <v>6.5</v>
      </c>
      <c r="G21" s="334">
        <v>156</v>
      </c>
      <c r="H21" s="335">
        <v>80</v>
      </c>
      <c r="I21" s="335">
        <v>76</v>
      </c>
      <c r="J21" s="147"/>
      <c r="K21" s="331"/>
      <c r="L21" s="336"/>
      <c r="M21" s="331"/>
      <c r="N21" s="147"/>
      <c r="O21" s="337">
        <v>72</v>
      </c>
      <c r="P21" s="337">
        <v>84</v>
      </c>
      <c r="Q21" s="147"/>
      <c r="R21" s="147"/>
      <c r="S21" s="147"/>
      <c r="T21" s="147"/>
      <c r="U21" s="149"/>
      <c r="V21" s="147"/>
      <c r="W21" s="150"/>
      <c r="X21" s="151">
        <f t="shared" si="1"/>
        <v>156</v>
      </c>
      <c r="Y21" s="152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</row>
    <row r="22" spans="1:35" s="153" customFormat="1" ht="13.8" outlineLevel="4" x14ac:dyDescent="0.3">
      <c r="A22" s="342"/>
      <c r="B22" s="341" t="s">
        <v>669</v>
      </c>
      <c r="C22" s="332"/>
      <c r="D22" s="332"/>
      <c r="E22" s="332"/>
      <c r="F22" s="331"/>
      <c r="G22" s="334"/>
      <c r="H22" s="335"/>
      <c r="I22" s="335"/>
      <c r="J22" s="147"/>
      <c r="K22" s="331"/>
      <c r="L22" s="336"/>
      <c r="M22" s="331"/>
      <c r="N22" s="147"/>
      <c r="O22" s="337"/>
      <c r="P22" s="337"/>
      <c r="Q22" s="147"/>
      <c r="R22" s="147"/>
      <c r="S22" s="147"/>
      <c r="T22" s="147"/>
      <c r="U22" s="149"/>
      <c r="V22" s="147"/>
      <c r="W22" s="150"/>
      <c r="X22" s="151">
        <f t="shared" si="1"/>
        <v>0</v>
      </c>
      <c r="Y22" s="152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</row>
    <row r="23" spans="1:35" s="153" customFormat="1" outlineLevel="4" x14ac:dyDescent="0.3">
      <c r="A23" s="342" t="s">
        <v>681</v>
      </c>
      <c r="B23" s="331" t="s">
        <v>229</v>
      </c>
      <c r="C23" s="333"/>
      <c r="D23" s="332">
        <v>2</v>
      </c>
      <c r="E23" s="333"/>
      <c r="F23" s="331">
        <f t="shared" si="0"/>
        <v>2.5</v>
      </c>
      <c r="G23" s="334">
        <v>60</v>
      </c>
      <c r="H23" s="335">
        <v>36</v>
      </c>
      <c r="I23" s="335">
        <v>24</v>
      </c>
      <c r="J23" s="147"/>
      <c r="K23" s="331"/>
      <c r="L23" s="336"/>
      <c r="M23" s="331"/>
      <c r="N23" s="147"/>
      <c r="O23" s="337">
        <v>18</v>
      </c>
      <c r="P23" s="337">
        <v>42</v>
      </c>
      <c r="Q23" s="147"/>
      <c r="R23" s="147"/>
      <c r="S23" s="147"/>
      <c r="T23" s="147"/>
      <c r="U23" s="149"/>
      <c r="V23" s="147"/>
      <c r="W23" s="150"/>
      <c r="X23" s="151">
        <f t="shared" si="1"/>
        <v>60</v>
      </c>
      <c r="Y23" s="152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</row>
    <row r="24" spans="1:35" s="153" customFormat="1" outlineLevel="4" x14ac:dyDescent="0.3">
      <c r="A24" s="342" t="s">
        <v>682</v>
      </c>
      <c r="B24" s="331" t="s">
        <v>186</v>
      </c>
      <c r="C24" s="333"/>
      <c r="D24" s="332">
        <v>2</v>
      </c>
      <c r="E24" s="333"/>
      <c r="F24" s="331">
        <f>G24/24</f>
        <v>2.5</v>
      </c>
      <c r="G24" s="334">
        <v>60</v>
      </c>
      <c r="H24" s="335">
        <v>50</v>
      </c>
      <c r="I24" s="335">
        <v>10</v>
      </c>
      <c r="J24" s="147"/>
      <c r="K24" s="331"/>
      <c r="L24" s="336"/>
      <c r="M24" s="331"/>
      <c r="N24" s="147"/>
      <c r="O24" s="337">
        <v>18</v>
      </c>
      <c r="P24" s="337">
        <v>42</v>
      </c>
      <c r="Q24" s="147"/>
      <c r="R24" s="147"/>
      <c r="S24" s="147"/>
      <c r="T24" s="147"/>
      <c r="U24" s="149"/>
      <c r="V24" s="147"/>
      <c r="W24" s="150"/>
      <c r="X24" s="151">
        <f t="shared" si="1"/>
        <v>60</v>
      </c>
      <c r="Y24" s="152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</row>
    <row r="25" spans="1:35" s="153" customFormat="1" outlineLevel="4" x14ac:dyDescent="0.3">
      <c r="A25" s="157" t="s">
        <v>496</v>
      </c>
      <c r="B25" s="158" t="s">
        <v>455</v>
      </c>
      <c r="C25" s="154"/>
      <c r="D25" s="154"/>
      <c r="E25" s="154"/>
      <c r="F25" s="154">
        <f t="shared" ref="F25" si="2">G25/24</f>
        <v>3</v>
      </c>
      <c r="G25" s="148">
        <v>72</v>
      </c>
      <c r="H25" s="154">
        <v>72</v>
      </c>
      <c r="I25" s="154"/>
      <c r="J25" s="154"/>
      <c r="K25" s="154"/>
      <c r="L25" s="154"/>
      <c r="M25" s="154"/>
      <c r="N25" s="154"/>
      <c r="O25" s="155">
        <v>36</v>
      </c>
      <c r="P25" s="155">
        <v>36</v>
      </c>
      <c r="Q25" s="147"/>
      <c r="R25" s="147"/>
      <c r="S25" s="147"/>
      <c r="T25" s="147"/>
      <c r="U25" s="149"/>
      <c r="V25" s="147"/>
      <c r="W25" s="150"/>
      <c r="X25" s="151">
        <f t="shared" si="1"/>
        <v>72</v>
      </c>
      <c r="Y25" s="152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</row>
    <row r="26" spans="1:35" s="166" customFormat="1" ht="15.75" customHeight="1" outlineLevel="3" x14ac:dyDescent="0.25">
      <c r="A26" s="159" t="s">
        <v>497</v>
      </c>
      <c r="B26" s="160" t="s">
        <v>498</v>
      </c>
      <c r="C26" s="161">
        <f>COUNT(C10:C25)</f>
        <v>5</v>
      </c>
      <c r="D26" s="161">
        <f>COUNT(D10:D25)</f>
        <v>13</v>
      </c>
      <c r="E26" s="161">
        <f>COUNT(E10:E25)</f>
        <v>6</v>
      </c>
      <c r="F26" s="161">
        <f>SUM(F10:F25)</f>
        <v>60</v>
      </c>
      <c r="G26" s="162">
        <f>SUM(G10:G25)</f>
        <v>1440</v>
      </c>
      <c r="H26" s="161">
        <f>SUM(H10:H25)</f>
        <v>698</v>
      </c>
      <c r="I26" s="161">
        <f>SUM(I10:I24)</f>
        <v>742</v>
      </c>
      <c r="J26" s="161"/>
      <c r="K26" s="161">
        <f>SUM(K10:K25)</f>
        <v>0</v>
      </c>
      <c r="L26" s="161">
        <f>SUM(L10:L25)</f>
        <v>0</v>
      </c>
      <c r="M26" s="161"/>
      <c r="N26" s="161"/>
      <c r="O26" s="161">
        <f>SUM(O10:O25)</f>
        <v>684</v>
      </c>
      <c r="P26" s="161">
        <f>SUM(P10:P25)</f>
        <v>756</v>
      </c>
      <c r="Q26" s="161"/>
      <c r="R26" s="161"/>
      <c r="S26" s="161"/>
      <c r="T26" s="161"/>
      <c r="U26" s="161"/>
      <c r="V26" s="161"/>
      <c r="W26" s="163"/>
      <c r="X26" s="151">
        <f>SUM(H26:J26)</f>
        <v>1440</v>
      </c>
      <c r="Y26" s="164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</row>
    <row r="27" spans="1:35" s="174" customFormat="1" ht="25.5" customHeight="1" outlineLevel="1" x14ac:dyDescent="0.3">
      <c r="A27" s="167" t="s">
        <v>499</v>
      </c>
      <c r="B27" s="168" t="s">
        <v>500</v>
      </c>
      <c r="C27" s="169">
        <f>COUNT(C29)</f>
        <v>1</v>
      </c>
      <c r="D27" s="169">
        <f t="shared" ref="D27:E27" si="3">COUNT(D29)</f>
        <v>1</v>
      </c>
      <c r="E27" s="169">
        <f t="shared" si="3"/>
        <v>0</v>
      </c>
      <c r="F27" s="169">
        <v>12</v>
      </c>
      <c r="G27" s="170">
        <v>276</v>
      </c>
      <c r="H27" s="170">
        <f>SUM(H29)</f>
        <v>0</v>
      </c>
      <c r="I27" s="170">
        <v>276</v>
      </c>
      <c r="J27" s="170">
        <f t="shared" ref="J27" si="4">SUM(J29)</f>
        <v>0</v>
      </c>
      <c r="K27" s="170"/>
      <c r="L27" s="170"/>
      <c r="M27" s="170">
        <f t="shared" ref="M27" si="5">SUM(M29)</f>
        <v>0</v>
      </c>
      <c r="N27" s="170"/>
      <c r="O27" s="170">
        <f t="shared" ref="O27:P27" si="6">SUM(O29)</f>
        <v>0</v>
      </c>
      <c r="P27" s="170">
        <f t="shared" si="6"/>
        <v>0</v>
      </c>
      <c r="Q27" s="171">
        <v>60</v>
      </c>
      <c r="R27" s="171">
        <v>48</v>
      </c>
      <c r="S27" s="170">
        <v>66</v>
      </c>
      <c r="T27" s="170">
        <v>42</v>
      </c>
      <c r="U27" s="170">
        <v>60</v>
      </c>
      <c r="V27" s="170">
        <f t="shared" ref="V27" si="7">SUM(V29)</f>
        <v>0</v>
      </c>
      <c r="W27" s="172"/>
      <c r="X27" s="173">
        <f>SUM(O27:W27)</f>
        <v>276</v>
      </c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</row>
    <row r="28" spans="1:35" s="176" customFormat="1" ht="25.5" customHeight="1" outlineLevel="1" x14ac:dyDescent="0.3">
      <c r="A28" s="175"/>
      <c r="B28" s="698" t="s">
        <v>501</v>
      </c>
      <c r="C28" s="699"/>
      <c r="D28" s="699"/>
      <c r="E28" s="699"/>
      <c r="F28" s="699"/>
      <c r="G28" s="699"/>
      <c r="H28" s="699"/>
      <c r="I28" s="699"/>
      <c r="J28" s="699"/>
      <c r="K28" s="699"/>
      <c r="L28" s="699"/>
      <c r="M28" s="699"/>
      <c r="N28" s="699"/>
      <c r="O28" s="699"/>
      <c r="P28" s="699"/>
      <c r="Q28" s="699"/>
      <c r="R28" s="699"/>
      <c r="S28" s="699"/>
      <c r="T28" s="699"/>
      <c r="U28" s="699"/>
      <c r="V28" s="700"/>
      <c r="W28" s="150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</row>
    <row r="29" spans="1:35" s="153" customFormat="1" ht="24.75" customHeight="1" outlineLevel="1" x14ac:dyDescent="0.3">
      <c r="A29" s="177" t="s">
        <v>502</v>
      </c>
      <c r="B29" s="178" t="s">
        <v>503</v>
      </c>
      <c r="C29" s="147">
        <v>7</v>
      </c>
      <c r="D29" s="147">
        <v>5</v>
      </c>
      <c r="E29" s="147"/>
      <c r="F29" s="147">
        <v>12</v>
      </c>
      <c r="G29" s="148">
        <v>276</v>
      </c>
      <c r="H29" s="147"/>
      <c r="I29" s="147">
        <v>276</v>
      </c>
      <c r="J29" s="147"/>
      <c r="K29" s="147"/>
      <c r="L29" s="147"/>
      <c r="M29" s="148"/>
      <c r="N29" s="147"/>
      <c r="O29" s="147"/>
      <c r="P29" s="147"/>
      <c r="Q29" s="147">
        <v>60</v>
      </c>
      <c r="R29" s="147">
        <v>48</v>
      </c>
      <c r="S29" s="147">
        <v>66</v>
      </c>
      <c r="T29" s="147">
        <v>42</v>
      </c>
      <c r="U29" s="149">
        <v>60</v>
      </c>
      <c r="V29" s="147"/>
      <c r="W29" s="150"/>
      <c r="X29" s="151">
        <f>SUM(Q29:W29)</f>
        <v>276</v>
      </c>
      <c r="Y29" s="152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</row>
    <row r="30" spans="1:35" s="174" customFormat="1" ht="39.6" outlineLevel="1" x14ac:dyDescent="0.3">
      <c r="A30" s="167" t="s">
        <v>504</v>
      </c>
      <c r="B30" s="168" t="s">
        <v>505</v>
      </c>
      <c r="C30" s="169">
        <f>COUNT(C32)</f>
        <v>0</v>
      </c>
      <c r="D30" s="169">
        <f t="shared" ref="D30:E30" si="8">COUNT(D32)</f>
        <v>1</v>
      </c>
      <c r="E30" s="169">
        <f t="shared" si="8"/>
        <v>1</v>
      </c>
      <c r="F30" s="170">
        <f t="shared" ref="F30:V30" si="9">SUM(F32)</f>
        <v>1</v>
      </c>
      <c r="G30" s="170">
        <f t="shared" si="9"/>
        <v>24</v>
      </c>
      <c r="H30" s="170">
        <f t="shared" si="9"/>
        <v>10</v>
      </c>
      <c r="I30" s="170">
        <f t="shared" si="9"/>
        <v>14</v>
      </c>
      <c r="J30" s="170">
        <f t="shared" si="9"/>
        <v>0</v>
      </c>
      <c r="K30" s="170"/>
      <c r="L30" s="170"/>
      <c r="M30" s="170">
        <f t="shared" si="9"/>
        <v>0</v>
      </c>
      <c r="N30" s="170"/>
      <c r="O30" s="170">
        <f t="shared" si="9"/>
        <v>0</v>
      </c>
      <c r="P30" s="170">
        <f t="shared" si="9"/>
        <v>0</v>
      </c>
      <c r="Q30" s="171">
        <f t="shared" si="9"/>
        <v>24</v>
      </c>
      <c r="R30" s="171">
        <f t="shared" si="9"/>
        <v>0</v>
      </c>
      <c r="S30" s="170">
        <f t="shared" si="9"/>
        <v>0</v>
      </c>
      <c r="T30" s="170">
        <f t="shared" si="9"/>
        <v>0</v>
      </c>
      <c r="U30" s="170">
        <f t="shared" si="9"/>
        <v>0</v>
      </c>
      <c r="V30" s="170">
        <f t="shared" si="9"/>
        <v>0</v>
      </c>
      <c r="W30" s="172"/>
      <c r="X30" s="151">
        <f t="shared" ref="X30:X96" si="10">SUM(Q30:W30)</f>
        <v>24</v>
      </c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</row>
    <row r="31" spans="1:35" s="176" customFormat="1" ht="30.75" customHeight="1" outlineLevel="1" x14ac:dyDescent="0.3">
      <c r="A31" s="175"/>
      <c r="B31" s="698" t="s">
        <v>506</v>
      </c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699"/>
      <c r="N31" s="699"/>
      <c r="O31" s="699"/>
      <c r="P31" s="699"/>
      <c r="Q31" s="699"/>
      <c r="R31" s="699"/>
      <c r="S31" s="699"/>
      <c r="T31" s="699"/>
      <c r="U31" s="699"/>
      <c r="V31" s="700"/>
      <c r="W31" s="150"/>
      <c r="X31" s="151">
        <f t="shared" si="10"/>
        <v>0</v>
      </c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</row>
    <row r="32" spans="1:35" s="153" customFormat="1" ht="39.6" outlineLevel="1" x14ac:dyDescent="0.3">
      <c r="A32" s="177" t="s">
        <v>507</v>
      </c>
      <c r="B32" s="179" t="s">
        <v>508</v>
      </c>
      <c r="C32" s="147"/>
      <c r="D32" s="147">
        <v>3</v>
      </c>
      <c r="E32" s="147">
        <v>1</v>
      </c>
      <c r="F32" s="147">
        <f t="shared" ref="F32" si="11">G32/24</f>
        <v>1</v>
      </c>
      <c r="G32" s="148">
        <v>24</v>
      </c>
      <c r="H32" s="147">
        <v>10</v>
      </c>
      <c r="I32" s="147">
        <f t="shared" ref="I32" si="12">$G32-$H32</f>
        <v>14</v>
      </c>
      <c r="J32" s="147"/>
      <c r="K32" s="149"/>
      <c r="L32" s="147"/>
      <c r="M32" s="148"/>
      <c r="N32" s="147"/>
      <c r="O32" s="147"/>
      <c r="P32" s="147"/>
      <c r="Q32" s="147">
        <v>24</v>
      </c>
      <c r="R32" s="147"/>
      <c r="S32" s="147"/>
      <c r="T32" s="147"/>
      <c r="U32" s="149"/>
      <c r="V32" s="147"/>
      <c r="W32" s="150"/>
      <c r="X32" s="151">
        <f t="shared" si="10"/>
        <v>24</v>
      </c>
      <c r="Y32" s="152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</row>
    <row r="33" spans="1:35" s="184" customFormat="1" ht="39.6" outlineLevel="1" x14ac:dyDescent="0.3">
      <c r="A33" s="168" t="s">
        <v>509</v>
      </c>
      <c r="B33" s="180" t="s">
        <v>510</v>
      </c>
      <c r="C33" s="181">
        <f>COUNT(C36:C38)</f>
        <v>0</v>
      </c>
      <c r="D33" s="181">
        <f>COUNT(D35:D38)</f>
        <v>4</v>
      </c>
      <c r="E33" s="181">
        <f>COUNT(E35:E38)</f>
        <v>4</v>
      </c>
      <c r="F33" s="182">
        <f t="shared" ref="F33:V33" si="13">SUM(F35:F38)</f>
        <v>7</v>
      </c>
      <c r="G33" s="182">
        <f>SUM(G35:G38)</f>
        <v>168</v>
      </c>
      <c r="H33" s="182">
        <f t="shared" si="13"/>
        <v>124</v>
      </c>
      <c r="I33" s="182">
        <f t="shared" si="13"/>
        <v>44</v>
      </c>
      <c r="J33" s="182">
        <f t="shared" si="13"/>
        <v>0</v>
      </c>
      <c r="K33" s="182">
        <f t="shared" si="13"/>
        <v>0</v>
      </c>
      <c r="L33" s="182">
        <f t="shared" si="13"/>
        <v>0</v>
      </c>
      <c r="M33" s="182">
        <f t="shared" si="13"/>
        <v>0</v>
      </c>
      <c r="N33" s="182">
        <f t="shared" si="13"/>
        <v>0</v>
      </c>
      <c r="O33" s="182">
        <f t="shared" si="13"/>
        <v>0</v>
      </c>
      <c r="P33" s="182">
        <f t="shared" si="13"/>
        <v>0</v>
      </c>
      <c r="Q33" s="182">
        <f t="shared" si="13"/>
        <v>0</v>
      </c>
      <c r="R33" s="182">
        <f t="shared" si="13"/>
        <v>168</v>
      </c>
      <c r="S33" s="182">
        <f t="shared" si="13"/>
        <v>0</v>
      </c>
      <c r="T33" s="182">
        <f t="shared" si="13"/>
        <v>0</v>
      </c>
      <c r="U33" s="182">
        <f t="shared" si="13"/>
        <v>0</v>
      </c>
      <c r="V33" s="182">
        <f t="shared" si="13"/>
        <v>0</v>
      </c>
      <c r="W33" s="172"/>
      <c r="X33" s="151">
        <f t="shared" si="10"/>
        <v>168</v>
      </c>
      <c r="Y33" s="17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</row>
    <row r="34" spans="1:35" s="153" customFormat="1" ht="47.25" customHeight="1" outlineLevel="1" x14ac:dyDescent="0.3">
      <c r="A34" s="185"/>
      <c r="B34" s="698" t="s">
        <v>799</v>
      </c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699"/>
      <c r="Q34" s="699"/>
      <c r="R34" s="699"/>
      <c r="S34" s="699"/>
      <c r="T34" s="699"/>
      <c r="U34" s="699"/>
      <c r="V34" s="700"/>
      <c r="W34" s="150"/>
      <c r="X34" s="151">
        <f t="shared" si="10"/>
        <v>0</v>
      </c>
      <c r="Y34" s="152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</row>
    <row r="35" spans="1:35" s="153" customFormat="1" ht="26.4" outlineLevel="1" x14ac:dyDescent="0.3">
      <c r="A35" s="179" t="s">
        <v>511</v>
      </c>
      <c r="B35" s="186" t="s">
        <v>683</v>
      </c>
      <c r="C35" s="187"/>
      <c r="D35" s="188">
        <v>4</v>
      </c>
      <c r="E35" s="188">
        <v>1</v>
      </c>
      <c r="F35" s="188">
        <f>G35/24</f>
        <v>2</v>
      </c>
      <c r="G35" s="189">
        <v>48</v>
      </c>
      <c r="H35" s="190">
        <v>48</v>
      </c>
      <c r="I35" s="188"/>
      <c r="J35" s="191"/>
      <c r="K35" s="191"/>
      <c r="L35" s="191"/>
      <c r="M35" s="192"/>
      <c r="N35" s="192"/>
      <c r="O35" s="192"/>
      <c r="P35" s="193"/>
      <c r="Q35" s="194"/>
      <c r="R35" s="194">
        <v>48</v>
      </c>
      <c r="S35" s="194"/>
      <c r="T35" s="147"/>
      <c r="U35" s="149"/>
      <c r="V35" s="188"/>
      <c r="W35" s="150"/>
      <c r="X35" s="151">
        <f t="shared" si="10"/>
        <v>48</v>
      </c>
      <c r="Y35" s="152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</row>
    <row r="36" spans="1:35" s="153" customFormat="1" outlineLevel="1" x14ac:dyDescent="0.3">
      <c r="A36" s="179" t="s">
        <v>512</v>
      </c>
      <c r="B36" s="195" t="s">
        <v>513</v>
      </c>
      <c r="C36" s="196"/>
      <c r="D36" s="147">
        <v>4</v>
      </c>
      <c r="E36" s="147">
        <v>1</v>
      </c>
      <c r="F36" s="154">
        <f>G36/24</f>
        <v>1.5</v>
      </c>
      <c r="G36" s="197">
        <v>36</v>
      </c>
      <c r="H36" s="198">
        <v>28</v>
      </c>
      <c r="I36" s="147">
        <f>$G36-$H36-$M36</f>
        <v>8</v>
      </c>
      <c r="J36" s="199"/>
      <c r="K36" s="199"/>
      <c r="L36" s="191"/>
      <c r="M36" s="199"/>
      <c r="N36" s="200"/>
      <c r="O36" s="201"/>
      <c r="P36" s="199"/>
      <c r="Q36" s="199"/>
      <c r="R36" s="202">
        <v>36</v>
      </c>
      <c r="S36" s="202"/>
      <c r="T36" s="203"/>
      <c r="U36" s="198"/>
      <c r="V36" s="204"/>
      <c r="W36" s="150"/>
      <c r="X36" s="151">
        <f t="shared" si="10"/>
        <v>36</v>
      </c>
      <c r="Y36" s="152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</row>
    <row r="37" spans="1:35" s="153" customFormat="1" ht="26.4" outlineLevel="1" x14ac:dyDescent="0.3">
      <c r="A37" s="179" t="s">
        <v>514</v>
      </c>
      <c r="B37" s="205" t="s">
        <v>515</v>
      </c>
      <c r="C37" s="206"/>
      <c r="D37" s="147">
        <v>4</v>
      </c>
      <c r="E37" s="147">
        <v>1</v>
      </c>
      <c r="F37" s="154">
        <f>G37/24</f>
        <v>2</v>
      </c>
      <c r="G37" s="207">
        <v>48</v>
      </c>
      <c r="H37" s="194">
        <v>28</v>
      </c>
      <c r="I37" s="147">
        <f>$G37-$H37-$M37</f>
        <v>20</v>
      </c>
      <c r="J37" s="208"/>
      <c r="K37" s="209"/>
      <c r="L37" s="191"/>
      <c r="M37" s="208"/>
      <c r="N37" s="208"/>
      <c r="O37" s="208"/>
      <c r="P37" s="208"/>
      <c r="Q37" s="208"/>
      <c r="R37" s="209">
        <v>48</v>
      </c>
      <c r="S37" s="209"/>
      <c r="T37" s="206"/>
      <c r="U37" s="210"/>
      <c r="V37" s="147"/>
      <c r="W37" s="150"/>
      <c r="X37" s="151">
        <f t="shared" si="10"/>
        <v>48</v>
      </c>
      <c r="Y37" s="152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</row>
    <row r="38" spans="1:35" s="153" customFormat="1" outlineLevel="1" x14ac:dyDescent="0.3">
      <c r="A38" s="179" t="s">
        <v>516</v>
      </c>
      <c r="B38" s="205" t="s">
        <v>517</v>
      </c>
      <c r="C38" s="206"/>
      <c r="D38" s="147">
        <v>4</v>
      </c>
      <c r="E38" s="147">
        <v>1</v>
      </c>
      <c r="F38" s="154">
        <f t="shared" ref="F38" si="14">G38/24</f>
        <v>1.5</v>
      </c>
      <c r="G38" s="207">
        <v>36</v>
      </c>
      <c r="H38" s="194">
        <v>20</v>
      </c>
      <c r="I38" s="147">
        <f>$G38-$H38-$M38</f>
        <v>16</v>
      </c>
      <c r="J38" s="208"/>
      <c r="K38" s="208"/>
      <c r="L38" s="191"/>
      <c r="M38" s="208"/>
      <c r="N38" s="208"/>
      <c r="O38" s="208"/>
      <c r="P38" s="208"/>
      <c r="Q38" s="208"/>
      <c r="R38" s="209">
        <v>36</v>
      </c>
      <c r="S38" s="209"/>
      <c r="T38" s="206"/>
      <c r="U38" s="210"/>
      <c r="V38" s="147"/>
      <c r="W38" s="150"/>
      <c r="X38" s="151">
        <f t="shared" si="10"/>
        <v>36</v>
      </c>
      <c r="Y38" s="152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</row>
    <row r="39" spans="1:35" s="218" customFormat="1" ht="51" customHeight="1" outlineLevel="2" x14ac:dyDescent="0.3">
      <c r="A39" s="211" t="s">
        <v>518</v>
      </c>
      <c r="B39" s="212" t="s">
        <v>519</v>
      </c>
      <c r="C39" s="213">
        <f>COUNT(C41:C43)</f>
        <v>1</v>
      </c>
      <c r="D39" s="213">
        <f>COUNT(D41:D43)</f>
        <v>3</v>
      </c>
      <c r="E39" s="213">
        <f>COUNT(E41:E43)</f>
        <v>1</v>
      </c>
      <c r="F39" s="214">
        <f>SUM(F41:F43)</f>
        <v>11.5</v>
      </c>
      <c r="G39" s="215">
        <f>SUM(G41:G43)</f>
        <v>276</v>
      </c>
      <c r="H39" s="214">
        <f>SUM(H41:H43)</f>
        <v>12</v>
      </c>
      <c r="I39" s="214">
        <f>SUM(I41:I43)</f>
        <v>0</v>
      </c>
      <c r="J39" s="214">
        <f t="shared" ref="J39:V39" si="15">SUM(J41:J43)</f>
        <v>0</v>
      </c>
      <c r="K39" s="214">
        <f t="shared" si="15"/>
        <v>0</v>
      </c>
      <c r="L39" s="214">
        <f t="shared" si="15"/>
        <v>0</v>
      </c>
      <c r="M39" s="214">
        <f t="shared" si="15"/>
        <v>264</v>
      </c>
      <c r="N39" s="214">
        <f t="shared" si="15"/>
        <v>0</v>
      </c>
      <c r="O39" s="214">
        <f t="shared" si="15"/>
        <v>0</v>
      </c>
      <c r="P39" s="214">
        <f t="shared" si="15"/>
        <v>0</v>
      </c>
      <c r="Q39" s="214">
        <f t="shared" si="15"/>
        <v>276</v>
      </c>
      <c r="R39" s="214">
        <f t="shared" si="15"/>
        <v>0</v>
      </c>
      <c r="S39" s="214">
        <f t="shared" si="15"/>
        <v>0</v>
      </c>
      <c r="T39" s="214">
        <f t="shared" si="15"/>
        <v>0</v>
      </c>
      <c r="U39" s="214">
        <f t="shared" si="15"/>
        <v>0</v>
      </c>
      <c r="V39" s="214">
        <f t="shared" si="15"/>
        <v>0</v>
      </c>
      <c r="W39" s="163"/>
      <c r="X39" s="151">
        <f t="shared" si="10"/>
        <v>276</v>
      </c>
      <c r="Y39" s="216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</row>
    <row r="40" spans="1:35" s="153" customFormat="1" ht="30.75" customHeight="1" outlineLevel="2" x14ac:dyDescent="0.3">
      <c r="A40" s="175"/>
      <c r="B40" s="701" t="s">
        <v>520</v>
      </c>
      <c r="C40" s="702"/>
      <c r="D40" s="702"/>
      <c r="E40" s="702"/>
      <c r="F40" s="702"/>
      <c r="G40" s="702"/>
      <c r="H40" s="702"/>
      <c r="I40" s="702"/>
      <c r="J40" s="702"/>
      <c r="K40" s="702"/>
      <c r="L40" s="702"/>
      <c r="M40" s="702"/>
      <c r="N40" s="702"/>
      <c r="O40" s="702"/>
      <c r="P40" s="702"/>
      <c r="Q40" s="702"/>
      <c r="R40" s="702"/>
      <c r="S40" s="702"/>
      <c r="T40" s="702"/>
      <c r="U40" s="702"/>
      <c r="V40" s="703"/>
      <c r="W40" s="150"/>
      <c r="X40" s="151">
        <f t="shared" si="10"/>
        <v>0</v>
      </c>
      <c r="Y40" s="152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</row>
    <row r="41" spans="1:35" s="153" customFormat="1" outlineLevel="2" x14ac:dyDescent="0.3">
      <c r="A41" s="219" t="s">
        <v>521</v>
      </c>
      <c r="B41" s="220" t="s">
        <v>522</v>
      </c>
      <c r="C41" s="187"/>
      <c r="D41" s="188">
        <v>3</v>
      </c>
      <c r="E41" s="188"/>
      <c r="F41" s="188">
        <f>G41/24</f>
        <v>1.5</v>
      </c>
      <c r="G41" s="189">
        <v>36</v>
      </c>
      <c r="H41" s="190"/>
      <c r="I41" s="190"/>
      <c r="J41" s="191"/>
      <c r="K41" s="191"/>
      <c r="L41" s="191"/>
      <c r="M41" s="192">
        <v>36</v>
      </c>
      <c r="N41" s="192"/>
      <c r="O41" s="192"/>
      <c r="P41" s="193"/>
      <c r="Q41" s="194">
        <v>36</v>
      </c>
      <c r="R41" s="147"/>
      <c r="S41" s="147"/>
      <c r="T41" s="147"/>
      <c r="U41" s="149"/>
      <c r="V41" s="188"/>
      <c r="W41" s="150"/>
      <c r="X41" s="151">
        <f t="shared" si="10"/>
        <v>36</v>
      </c>
      <c r="Y41" s="152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</row>
    <row r="42" spans="1:35" s="153" customFormat="1" outlineLevel="2" x14ac:dyDescent="0.3">
      <c r="A42" s="219" t="s">
        <v>523</v>
      </c>
      <c r="B42" s="186" t="s">
        <v>524</v>
      </c>
      <c r="C42" s="188"/>
      <c r="D42" s="188">
        <v>3</v>
      </c>
      <c r="E42" s="188">
        <v>1</v>
      </c>
      <c r="F42" s="188">
        <f>G42/24</f>
        <v>6</v>
      </c>
      <c r="G42" s="221">
        <v>144</v>
      </c>
      <c r="H42" s="188">
        <v>12</v>
      </c>
      <c r="I42" s="188"/>
      <c r="J42" s="188"/>
      <c r="K42" s="188"/>
      <c r="L42" s="191"/>
      <c r="M42" s="222">
        <v>132</v>
      </c>
      <c r="N42" s="188"/>
      <c r="O42" s="188"/>
      <c r="P42" s="188"/>
      <c r="Q42" s="147">
        <v>144</v>
      </c>
      <c r="R42" s="147"/>
      <c r="S42" s="147"/>
      <c r="T42" s="147"/>
      <c r="U42" s="149"/>
      <c r="V42" s="188"/>
      <c r="W42" s="150"/>
      <c r="X42" s="151">
        <f t="shared" si="10"/>
        <v>144</v>
      </c>
      <c r="Y42" s="152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</row>
    <row r="43" spans="1:35" s="153" customFormat="1" outlineLevel="2" x14ac:dyDescent="0.3">
      <c r="A43" s="219" t="s">
        <v>525</v>
      </c>
      <c r="B43" s="186" t="s">
        <v>526</v>
      </c>
      <c r="C43" s="188">
        <v>3</v>
      </c>
      <c r="D43" s="188">
        <v>3</v>
      </c>
      <c r="E43" s="188"/>
      <c r="F43" s="188">
        <f t="shared" ref="F43" si="16">G43/24</f>
        <v>4</v>
      </c>
      <c r="G43" s="221">
        <v>96</v>
      </c>
      <c r="H43" s="188"/>
      <c r="I43" s="188"/>
      <c r="J43" s="188"/>
      <c r="K43" s="188"/>
      <c r="L43" s="191"/>
      <c r="M43" s="222">
        <v>96</v>
      </c>
      <c r="N43" s="188"/>
      <c r="O43" s="188"/>
      <c r="P43" s="188"/>
      <c r="Q43" s="147">
        <v>96</v>
      </c>
      <c r="R43" s="147"/>
      <c r="S43" s="147"/>
      <c r="T43" s="147"/>
      <c r="U43" s="149"/>
      <c r="V43" s="188"/>
      <c r="W43" s="150"/>
      <c r="X43" s="151">
        <f t="shared" si="10"/>
        <v>96</v>
      </c>
      <c r="Y43" s="152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</row>
    <row r="44" spans="1:35" s="218" customFormat="1" ht="57.75" customHeight="1" outlineLevel="2" x14ac:dyDescent="0.3">
      <c r="A44" s="211" t="s">
        <v>527</v>
      </c>
      <c r="B44" s="212" t="s">
        <v>528</v>
      </c>
      <c r="C44" s="223">
        <f>COUNT(C45:C49)</f>
        <v>2</v>
      </c>
      <c r="D44" s="223">
        <f t="shared" ref="D44:E44" si="17">COUNT(D45:D49)</f>
        <v>4</v>
      </c>
      <c r="E44" s="223">
        <f t="shared" si="17"/>
        <v>3</v>
      </c>
      <c r="F44" s="223">
        <f>SUM(F46:F49)</f>
        <v>19.5</v>
      </c>
      <c r="G44" s="223">
        <f t="shared" ref="G44:V44" si="18">SUM(G46:G49)</f>
        <v>468</v>
      </c>
      <c r="H44" s="223">
        <f t="shared" si="18"/>
        <v>48</v>
      </c>
      <c r="I44" s="223">
        <f t="shared" si="18"/>
        <v>0</v>
      </c>
      <c r="J44" s="223">
        <f t="shared" si="18"/>
        <v>0</v>
      </c>
      <c r="K44" s="223">
        <f t="shared" si="18"/>
        <v>0</v>
      </c>
      <c r="L44" s="223">
        <f t="shared" si="18"/>
        <v>0</v>
      </c>
      <c r="M44" s="223">
        <f t="shared" si="18"/>
        <v>420</v>
      </c>
      <c r="N44" s="223">
        <f t="shared" si="18"/>
        <v>0</v>
      </c>
      <c r="O44" s="223">
        <f t="shared" si="18"/>
        <v>0</v>
      </c>
      <c r="P44" s="223">
        <f t="shared" si="18"/>
        <v>0</v>
      </c>
      <c r="Q44" s="223">
        <f t="shared" si="18"/>
        <v>432</v>
      </c>
      <c r="R44" s="223">
        <f t="shared" si="18"/>
        <v>36</v>
      </c>
      <c r="S44" s="223">
        <f t="shared" si="18"/>
        <v>0</v>
      </c>
      <c r="T44" s="223">
        <f t="shared" si="18"/>
        <v>0</v>
      </c>
      <c r="U44" s="223">
        <f t="shared" si="18"/>
        <v>0</v>
      </c>
      <c r="V44" s="223">
        <f t="shared" si="18"/>
        <v>0</v>
      </c>
      <c r="W44" s="163"/>
      <c r="X44" s="151">
        <f t="shared" si="10"/>
        <v>468</v>
      </c>
      <c r="Y44" s="216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</row>
    <row r="45" spans="1:35" s="153" customFormat="1" ht="30" customHeight="1" outlineLevel="2" x14ac:dyDescent="0.3">
      <c r="A45" s="175"/>
      <c r="B45" s="701" t="s">
        <v>529</v>
      </c>
      <c r="C45" s="702"/>
      <c r="D45" s="702"/>
      <c r="E45" s="702"/>
      <c r="F45" s="702"/>
      <c r="G45" s="702"/>
      <c r="H45" s="702"/>
      <c r="I45" s="702"/>
      <c r="J45" s="702"/>
      <c r="K45" s="702"/>
      <c r="L45" s="702"/>
      <c r="M45" s="702"/>
      <c r="N45" s="702"/>
      <c r="O45" s="702"/>
      <c r="P45" s="702"/>
      <c r="Q45" s="702"/>
      <c r="R45" s="702"/>
      <c r="S45" s="702"/>
      <c r="T45" s="702"/>
      <c r="U45" s="702"/>
      <c r="V45" s="703"/>
      <c r="W45" s="150"/>
      <c r="X45" s="151">
        <f t="shared" si="10"/>
        <v>0</v>
      </c>
      <c r="Y45" s="152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</row>
    <row r="46" spans="1:35" s="153" customFormat="1" ht="26.25" customHeight="1" outlineLevel="2" x14ac:dyDescent="0.3">
      <c r="A46" s="219" t="s">
        <v>530</v>
      </c>
      <c r="B46" s="291" t="s">
        <v>531</v>
      </c>
      <c r="C46" s="225"/>
      <c r="D46" s="226">
        <v>4</v>
      </c>
      <c r="E46" s="226">
        <v>1</v>
      </c>
      <c r="F46" s="225">
        <v>6</v>
      </c>
      <c r="G46" s="225">
        <v>144</v>
      </c>
      <c r="H46" s="226">
        <v>12</v>
      </c>
      <c r="I46" s="226"/>
      <c r="J46" s="225"/>
      <c r="K46" s="226"/>
      <c r="L46" s="226"/>
      <c r="M46" s="226">
        <v>132</v>
      </c>
      <c r="N46" s="226"/>
      <c r="O46" s="226"/>
      <c r="P46" s="226"/>
      <c r="Q46" s="226">
        <v>144</v>
      </c>
      <c r="R46" s="226"/>
      <c r="S46" s="225"/>
      <c r="T46" s="225"/>
      <c r="U46" s="225"/>
      <c r="V46" s="225"/>
      <c r="W46" s="150"/>
      <c r="X46" s="151">
        <f t="shared" si="10"/>
        <v>144</v>
      </c>
      <c r="Y46" s="152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</row>
    <row r="47" spans="1:35" s="153" customFormat="1" ht="26.25" customHeight="1" outlineLevel="2" x14ac:dyDescent="0.3">
      <c r="A47" s="219" t="s">
        <v>532</v>
      </c>
      <c r="B47" s="291" t="s">
        <v>533</v>
      </c>
      <c r="C47" s="147"/>
      <c r="D47" s="147">
        <v>4</v>
      </c>
      <c r="E47" s="147">
        <v>1</v>
      </c>
      <c r="F47" s="147">
        <f>G47/24</f>
        <v>10</v>
      </c>
      <c r="G47" s="185">
        <v>240</v>
      </c>
      <c r="H47" s="179">
        <v>24</v>
      </c>
      <c r="I47" s="147"/>
      <c r="J47" s="179"/>
      <c r="K47" s="179"/>
      <c r="L47" s="179"/>
      <c r="M47" s="179">
        <v>216</v>
      </c>
      <c r="N47" s="179"/>
      <c r="O47" s="147"/>
      <c r="P47" s="147"/>
      <c r="Q47" s="147">
        <v>240</v>
      </c>
      <c r="R47" s="226"/>
      <c r="S47" s="225"/>
      <c r="T47" s="225"/>
      <c r="U47" s="225"/>
      <c r="V47" s="225"/>
      <c r="W47" s="150"/>
      <c r="X47" s="151">
        <f t="shared" si="10"/>
        <v>240</v>
      </c>
      <c r="Y47" s="152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</row>
    <row r="48" spans="1:35" s="153" customFormat="1" ht="26.25" customHeight="1" outlineLevel="2" x14ac:dyDescent="0.25">
      <c r="A48" s="219" t="s">
        <v>534</v>
      </c>
      <c r="B48" s="227" t="s">
        <v>535</v>
      </c>
      <c r="C48" s="147">
        <v>4</v>
      </c>
      <c r="D48" s="147">
        <v>4</v>
      </c>
      <c r="E48" s="147"/>
      <c r="F48" s="147">
        <v>1.5</v>
      </c>
      <c r="G48" s="185">
        <v>36</v>
      </c>
      <c r="H48" s="179"/>
      <c r="I48" s="147"/>
      <c r="J48" s="179"/>
      <c r="K48" s="179"/>
      <c r="L48" s="179"/>
      <c r="M48" s="179">
        <v>36</v>
      </c>
      <c r="N48" s="179"/>
      <c r="O48" s="147"/>
      <c r="P48" s="147"/>
      <c r="Q48" s="147"/>
      <c r="R48" s="226">
        <v>36</v>
      </c>
      <c r="S48" s="225"/>
      <c r="T48" s="225"/>
      <c r="U48" s="225"/>
      <c r="V48" s="225"/>
      <c r="W48" s="150"/>
      <c r="X48" s="151">
        <f t="shared" si="10"/>
        <v>36</v>
      </c>
      <c r="Y48" s="152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</row>
    <row r="49" spans="1:35" s="153" customFormat="1" ht="27" customHeight="1" outlineLevel="2" x14ac:dyDescent="0.3">
      <c r="A49" s="219" t="s">
        <v>536</v>
      </c>
      <c r="B49" s="147" t="s">
        <v>537</v>
      </c>
      <c r="C49" s="147">
        <v>3</v>
      </c>
      <c r="D49" s="147">
        <v>3</v>
      </c>
      <c r="E49" s="147">
        <v>1</v>
      </c>
      <c r="F49" s="147">
        <v>2</v>
      </c>
      <c r="G49" s="148">
        <v>48</v>
      </c>
      <c r="H49" s="147">
        <v>12</v>
      </c>
      <c r="I49" s="147"/>
      <c r="J49" s="147"/>
      <c r="K49" s="147"/>
      <c r="L49" s="147"/>
      <c r="M49" s="147">
        <v>36</v>
      </c>
      <c r="N49" s="147"/>
      <c r="O49" s="147"/>
      <c r="P49" s="147"/>
      <c r="Q49" s="147">
        <v>48</v>
      </c>
      <c r="R49" s="147"/>
      <c r="S49" s="147"/>
      <c r="T49" s="147"/>
      <c r="U49" s="149"/>
      <c r="V49" s="147"/>
      <c r="W49" s="150"/>
      <c r="X49" s="151">
        <f t="shared" si="10"/>
        <v>48</v>
      </c>
      <c r="Y49" s="152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</row>
    <row r="50" spans="1:35" s="218" customFormat="1" ht="26.4" outlineLevel="2" x14ac:dyDescent="0.3">
      <c r="A50" s="228" t="s">
        <v>538</v>
      </c>
      <c r="B50" s="229" t="s">
        <v>539</v>
      </c>
      <c r="C50" s="223">
        <f>COUNT(C52:C52)</f>
        <v>0</v>
      </c>
      <c r="D50" s="223">
        <f>COUNT(D52:D52)</f>
        <v>1</v>
      </c>
      <c r="E50" s="223">
        <f>COUNT(E52:E52)</f>
        <v>0</v>
      </c>
      <c r="F50" s="230">
        <f>SUM(F52:F52)</f>
        <v>4.5</v>
      </c>
      <c r="G50" s="230">
        <f t="shared" ref="G50:V50" si="19">SUM(G52:G52)</f>
        <v>108</v>
      </c>
      <c r="H50" s="230">
        <f t="shared" si="19"/>
        <v>0</v>
      </c>
      <c r="I50" s="230">
        <f t="shared" si="19"/>
        <v>0</v>
      </c>
      <c r="J50" s="230">
        <f t="shared" si="19"/>
        <v>0</v>
      </c>
      <c r="K50" s="230">
        <f t="shared" si="19"/>
        <v>0</v>
      </c>
      <c r="L50" s="230">
        <f t="shared" si="19"/>
        <v>0</v>
      </c>
      <c r="M50" s="230">
        <f t="shared" si="19"/>
        <v>108</v>
      </c>
      <c r="N50" s="230">
        <f t="shared" si="19"/>
        <v>0</v>
      </c>
      <c r="O50" s="230">
        <f t="shared" si="19"/>
        <v>0</v>
      </c>
      <c r="P50" s="230">
        <f t="shared" si="19"/>
        <v>0</v>
      </c>
      <c r="Q50" s="230">
        <f t="shared" si="19"/>
        <v>0</v>
      </c>
      <c r="R50" s="230">
        <f t="shared" si="19"/>
        <v>108</v>
      </c>
      <c r="S50" s="230">
        <f t="shared" si="19"/>
        <v>0</v>
      </c>
      <c r="T50" s="230">
        <f t="shared" si="19"/>
        <v>0</v>
      </c>
      <c r="U50" s="230">
        <f t="shared" si="19"/>
        <v>0</v>
      </c>
      <c r="V50" s="230">
        <f t="shared" si="19"/>
        <v>0</v>
      </c>
      <c r="W50" s="163"/>
      <c r="X50" s="151">
        <f t="shared" si="10"/>
        <v>108</v>
      </c>
      <c r="Y50" s="216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</row>
    <row r="51" spans="1:35" s="153" customFormat="1" ht="30" customHeight="1" outlineLevel="2" x14ac:dyDescent="0.3">
      <c r="A51" s="231"/>
      <c r="B51" s="701" t="s">
        <v>540</v>
      </c>
      <c r="C51" s="702"/>
      <c r="D51" s="702"/>
      <c r="E51" s="702"/>
      <c r="F51" s="702"/>
      <c r="G51" s="702"/>
      <c r="H51" s="702"/>
      <c r="I51" s="702"/>
      <c r="J51" s="702"/>
      <c r="K51" s="702"/>
      <c r="L51" s="702"/>
      <c r="M51" s="702"/>
      <c r="N51" s="702"/>
      <c r="O51" s="702"/>
      <c r="P51" s="702"/>
      <c r="Q51" s="702"/>
      <c r="R51" s="702"/>
      <c r="S51" s="702"/>
      <c r="T51" s="702"/>
      <c r="U51" s="702"/>
      <c r="V51" s="703"/>
      <c r="W51" s="150"/>
      <c r="X51" s="151">
        <f t="shared" si="10"/>
        <v>0</v>
      </c>
      <c r="Y51" s="152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</row>
    <row r="52" spans="1:35" s="153" customFormat="1" ht="30" customHeight="1" outlineLevel="2" x14ac:dyDescent="0.3">
      <c r="A52" s="232" t="s">
        <v>541</v>
      </c>
      <c r="B52" s="186" t="s">
        <v>542</v>
      </c>
      <c r="C52" s="233"/>
      <c r="D52" s="234">
        <v>4</v>
      </c>
      <c r="E52" s="234"/>
      <c r="F52" s="222">
        <f>G52/24</f>
        <v>4.5</v>
      </c>
      <c r="G52" s="189">
        <v>108</v>
      </c>
      <c r="H52" s="235"/>
      <c r="I52" s="235"/>
      <c r="J52" s="235"/>
      <c r="K52" s="235"/>
      <c r="L52" s="235"/>
      <c r="M52" s="235">
        <v>108</v>
      </c>
      <c r="N52" s="235"/>
      <c r="O52" s="235"/>
      <c r="P52" s="235"/>
      <c r="Q52" s="236"/>
      <c r="R52" s="236">
        <v>108</v>
      </c>
      <c r="S52" s="237"/>
      <c r="T52" s="237"/>
      <c r="U52" s="238"/>
      <c r="V52" s="239"/>
      <c r="W52" s="150"/>
      <c r="X52" s="151">
        <f t="shared" si="10"/>
        <v>108</v>
      </c>
      <c r="Y52" s="152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</row>
    <row r="53" spans="1:35" s="153" customFormat="1" ht="30" customHeight="1" outlineLevel="2" x14ac:dyDescent="0.3">
      <c r="A53" s="211" t="s">
        <v>543</v>
      </c>
      <c r="B53" s="212" t="s">
        <v>544</v>
      </c>
      <c r="C53" s="223">
        <f>COUNT(C55:C58)</f>
        <v>1</v>
      </c>
      <c r="D53" s="223">
        <f>COUNT(D55:D58)</f>
        <v>2</v>
      </c>
      <c r="E53" s="223">
        <f>COUNT(E55:E58)</f>
        <v>4</v>
      </c>
      <c r="F53" s="223">
        <f t="shared" ref="F53:R53" si="20">SUM(F55:F58)</f>
        <v>9</v>
      </c>
      <c r="G53" s="223">
        <f t="shared" si="20"/>
        <v>216</v>
      </c>
      <c r="H53" s="223">
        <f t="shared" si="20"/>
        <v>36</v>
      </c>
      <c r="I53" s="223">
        <f t="shared" si="20"/>
        <v>36</v>
      </c>
      <c r="J53" s="223">
        <f t="shared" si="20"/>
        <v>0</v>
      </c>
      <c r="K53" s="223">
        <f t="shared" si="20"/>
        <v>0</v>
      </c>
      <c r="L53" s="223">
        <f t="shared" si="20"/>
        <v>0</v>
      </c>
      <c r="M53" s="223">
        <f t="shared" si="20"/>
        <v>144</v>
      </c>
      <c r="N53" s="223">
        <f t="shared" si="20"/>
        <v>0</v>
      </c>
      <c r="O53" s="223">
        <f t="shared" si="20"/>
        <v>0</v>
      </c>
      <c r="P53" s="223">
        <f t="shared" si="20"/>
        <v>0</v>
      </c>
      <c r="Q53" s="223">
        <f t="shared" si="20"/>
        <v>0</v>
      </c>
      <c r="R53" s="223">
        <f t="shared" si="20"/>
        <v>216</v>
      </c>
      <c r="S53" s="223"/>
      <c r="T53" s="223">
        <f>SUM(T55:T58)</f>
        <v>0</v>
      </c>
      <c r="U53" s="223">
        <f>SUM(U55:U58)</f>
        <v>0</v>
      </c>
      <c r="V53" s="223">
        <f>SUM(V55:V58)</f>
        <v>0</v>
      </c>
      <c r="W53" s="150"/>
      <c r="X53" s="151"/>
      <c r="Y53" s="152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</row>
    <row r="54" spans="1:35" s="153" customFormat="1" ht="54.75" customHeight="1" outlineLevel="2" x14ac:dyDescent="0.3">
      <c r="A54" s="175"/>
      <c r="B54" s="683" t="s">
        <v>545</v>
      </c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P54" s="683"/>
      <c r="Q54" s="683"/>
      <c r="R54" s="683"/>
      <c r="S54" s="683"/>
      <c r="T54" s="683"/>
      <c r="U54" s="683"/>
      <c r="V54" s="683"/>
      <c r="W54" s="150"/>
      <c r="X54" s="151"/>
      <c r="Y54" s="152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</row>
    <row r="55" spans="1:35" s="153" customFormat="1" ht="30" customHeight="1" outlineLevel="2" x14ac:dyDescent="0.3">
      <c r="A55" s="219" t="s">
        <v>546</v>
      </c>
      <c r="B55" s="186" t="s">
        <v>547</v>
      </c>
      <c r="C55" s="188">
        <v>4</v>
      </c>
      <c r="D55" s="188"/>
      <c r="E55" s="188">
        <v>1</v>
      </c>
      <c r="F55" s="188">
        <f>G55/24</f>
        <v>2.5</v>
      </c>
      <c r="G55" s="221">
        <v>60</v>
      </c>
      <c r="H55" s="188">
        <v>24</v>
      </c>
      <c r="I55" s="188">
        <v>36</v>
      </c>
      <c r="J55" s="147"/>
      <c r="K55" s="188"/>
      <c r="L55" s="188"/>
      <c r="M55" s="188"/>
      <c r="N55" s="222"/>
      <c r="O55" s="188"/>
      <c r="P55" s="188"/>
      <c r="Q55" s="188"/>
      <c r="R55" s="147">
        <v>60</v>
      </c>
      <c r="S55" s="147"/>
      <c r="T55" s="147"/>
      <c r="U55" s="147"/>
      <c r="V55" s="147"/>
      <c r="W55" s="150"/>
      <c r="X55" s="151"/>
      <c r="Y55" s="152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</row>
    <row r="56" spans="1:35" s="153" customFormat="1" ht="30" customHeight="1" outlineLevel="2" x14ac:dyDescent="0.3">
      <c r="A56" s="219" t="s">
        <v>548</v>
      </c>
      <c r="B56" s="186" t="s">
        <v>549</v>
      </c>
      <c r="C56" s="188"/>
      <c r="D56" s="188">
        <v>5</v>
      </c>
      <c r="E56" s="188">
        <v>1</v>
      </c>
      <c r="F56" s="188">
        <f t="shared" ref="F56" si="21">G56/24</f>
        <v>1.5</v>
      </c>
      <c r="G56" s="221">
        <v>36</v>
      </c>
      <c r="H56" s="188"/>
      <c r="I56" s="188"/>
      <c r="J56" s="147"/>
      <c r="K56" s="188"/>
      <c r="L56" s="188"/>
      <c r="M56" s="222">
        <v>36</v>
      </c>
      <c r="N56" s="147"/>
      <c r="O56" s="187"/>
      <c r="P56" s="188"/>
      <c r="Q56" s="188"/>
      <c r="R56" s="147">
        <v>36</v>
      </c>
      <c r="S56" s="147"/>
      <c r="T56" s="147"/>
      <c r="U56" s="147"/>
      <c r="V56" s="147"/>
      <c r="W56" s="150"/>
      <c r="X56" s="151"/>
      <c r="Y56" s="152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</row>
    <row r="57" spans="1:35" s="153" customFormat="1" ht="30" customHeight="1" outlineLevel="2" x14ac:dyDescent="0.3">
      <c r="A57" s="219" t="s">
        <v>550</v>
      </c>
      <c r="B57" s="186" t="s">
        <v>551</v>
      </c>
      <c r="C57" s="188"/>
      <c r="D57" s="188">
        <v>5</v>
      </c>
      <c r="E57" s="188">
        <v>1</v>
      </c>
      <c r="F57" s="188">
        <f>G57/24</f>
        <v>1.5</v>
      </c>
      <c r="G57" s="221">
        <v>36</v>
      </c>
      <c r="H57" s="188"/>
      <c r="I57" s="188"/>
      <c r="J57" s="147"/>
      <c r="K57" s="188"/>
      <c r="L57" s="188"/>
      <c r="M57" s="222">
        <v>36</v>
      </c>
      <c r="N57" s="147"/>
      <c r="O57" s="187"/>
      <c r="P57" s="188"/>
      <c r="Q57" s="188"/>
      <c r="R57" s="147">
        <v>36</v>
      </c>
      <c r="S57" s="147"/>
      <c r="T57" s="147"/>
      <c r="U57" s="147"/>
      <c r="V57" s="147"/>
      <c r="W57" s="150"/>
      <c r="X57" s="151"/>
      <c r="Y57" s="152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</row>
    <row r="58" spans="1:35" s="153" customFormat="1" ht="34.5" customHeight="1" outlineLevel="2" x14ac:dyDescent="0.3">
      <c r="A58" s="147" t="s">
        <v>552</v>
      </c>
      <c r="B58" s="186" t="s">
        <v>553</v>
      </c>
      <c r="C58" s="187"/>
      <c r="D58" s="188"/>
      <c r="E58" s="188">
        <v>2</v>
      </c>
      <c r="F58" s="188">
        <f t="shared" ref="F58" si="22">G58/24</f>
        <v>3.5</v>
      </c>
      <c r="G58" s="189">
        <v>84</v>
      </c>
      <c r="H58" s="190">
        <v>12</v>
      </c>
      <c r="I58" s="188"/>
      <c r="J58" s="147"/>
      <c r="K58" s="190"/>
      <c r="L58" s="190"/>
      <c r="M58" s="190">
        <v>72</v>
      </c>
      <c r="N58" s="147"/>
      <c r="O58" s="191"/>
      <c r="P58" s="191"/>
      <c r="Q58" s="192"/>
      <c r="R58" s="194">
        <v>84</v>
      </c>
      <c r="S58" s="147"/>
      <c r="T58" s="194"/>
      <c r="U58" s="194"/>
      <c r="V58" s="147"/>
      <c r="W58" s="150"/>
      <c r="X58" s="151"/>
      <c r="Y58" s="152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</row>
    <row r="59" spans="1:35" s="252" customFormat="1" outlineLevel="2" x14ac:dyDescent="0.25">
      <c r="A59" s="240" t="s">
        <v>554</v>
      </c>
      <c r="B59" s="241" t="s">
        <v>455</v>
      </c>
      <c r="C59" s="242"/>
      <c r="D59" s="243"/>
      <c r="E59" s="243"/>
      <c r="F59" s="244">
        <v>3</v>
      </c>
      <c r="G59" s="245">
        <v>72</v>
      </c>
      <c r="H59" s="246">
        <v>72</v>
      </c>
      <c r="I59" s="247"/>
      <c r="J59" s="246"/>
      <c r="K59" s="246"/>
      <c r="L59" s="246"/>
      <c r="M59" s="246"/>
      <c r="N59" s="246"/>
      <c r="O59" s="248"/>
      <c r="P59" s="246"/>
      <c r="Q59" s="246">
        <v>36</v>
      </c>
      <c r="R59" s="246">
        <v>36</v>
      </c>
      <c r="S59" s="246"/>
      <c r="T59" s="246"/>
      <c r="U59" s="246"/>
      <c r="V59" s="246"/>
      <c r="W59" s="249"/>
      <c r="X59" s="151">
        <f t="shared" si="10"/>
        <v>72</v>
      </c>
      <c r="Y59" s="250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</row>
    <row r="60" spans="1:35" s="174" customFormat="1" outlineLevel="2" x14ac:dyDescent="0.25">
      <c r="A60" s="253"/>
      <c r="B60" s="254" t="s">
        <v>555</v>
      </c>
      <c r="C60" s="255">
        <f>SUM(C27+C30+C33+C39+C44+C50+C53)</f>
        <v>5</v>
      </c>
      <c r="D60" s="255">
        <f t="shared" ref="D60:E60" si="23">SUM(D27+D30+D33+D39+D44+D50+D53)</f>
        <v>16</v>
      </c>
      <c r="E60" s="255">
        <f t="shared" si="23"/>
        <v>13</v>
      </c>
      <c r="F60" s="255">
        <f>SUM(4.5+F30+F33+F39+F44+F50+F53+F59)</f>
        <v>60</v>
      </c>
      <c r="G60" s="255">
        <f>SUM(Q27+R27+G30+G33+G39+G44+G50+G53+G59)</f>
        <v>1440</v>
      </c>
      <c r="H60" s="255">
        <f>SUM(H27+H30+H33+H39+H44+H50+H53+72)</f>
        <v>302</v>
      </c>
      <c r="I60" s="255">
        <f>SUM(108+I30+I33+I39+I44+I50+I53)</f>
        <v>202</v>
      </c>
      <c r="J60" s="255">
        <f>SUM(J27+J30+J33+J39+J44+J50)</f>
        <v>0</v>
      </c>
      <c r="K60" s="255">
        <f>SUM(K27+K30+K33+K39+K44+K50)</f>
        <v>0</v>
      </c>
      <c r="L60" s="255">
        <f>SUM(L27+L30+L33+L39+L44+L50)</f>
        <v>0</v>
      </c>
      <c r="M60" s="255">
        <f>SUM(M27+M30+M33+M39+M44+M50+M53)</f>
        <v>936</v>
      </c>
      <c r="N60" s="255"/>
      <c r="O60" s="255">
        <f>SUM(O27+O30+O33+O39+O44+O50)</f>
        <v>0</v>
      </c>
      <c r="P60" s="255">
        <f>SUM(P27+P30+P33+P39+P44+P50)</f>
        <v>0</v>
      </c>
      <c r="Q60" s="255">
        <f>SUM(Q27+Q30+Q33+Q39+Q44+Q50+Q53+Q59)</f>
        <v>828</v>
      </c>
      <c r="R60" s="255">
        <f>SUM(R27+R30+R33+R39+R44+R50+R53+R59)</f>
        <v>612</v>
      </c>
      <c r="S60" s="256">
        <f>SUM(S27+S30+S33+S39+S44+S50+S59)</f>
        <v>66</v>
      </c>
      <c r="T60" s="256">
        <f>SUM(T27+T30+T33+T39+T44+T50+T59)</f>
        <v>42</v>
      </c>
      <c r="U60" s="256">
        <f>SUM(U27+U30+U33+U39+U44+U50+U59)</f>
        <v>60</v>
      </c>
      <c r="V60" s="256">
        <f>SUM(V27+V30+V33+V39+V44+V50+V59)</f>
        <v>0</v>
      </c>
      <c r="X60" s="152">
        <f>SUM(Q60:R60)</f>
        <v>1440</v>
      </c>
      <c r="Y60" s="257"/>
      <c r="Z60" s="173">
        <f>SUM(H60:N60)-180</f>
        <v>1260</v>
      </c>
      <c r="AA60" s="173"/>
      <c r="AB60" s="173"/>
      <c r="AC60" s="173"/>
      <c r="AD60" s="173"/>
      <c r="AE60" s="173"/>
      <c r="AF60" s="173"/>
      <c r="AG60" s="173"/>
      <c r="AH60" s="173"/>
      <c r="AI60" s="173"/>
    </row>
    <row r="61" spans="1:35" s="218" customFormat="1" ht="37.5" customHeight="1" outlineLevel="2" x14ac:dyDescent="0.3">
      <c r="A61" s="211" t="s">
        <v>543</v>
      </c>
      <c r="B61" s="212" t="s">
        <v>544</v>
      </c>
      <c r="C61" s="223">
        <f>COUNT(C63:C64)</f>
        <v>0</v>
      </c>
      <c r="D61" s="223">
        <f>COUNT(D63:D64)</f>
        <v>1</v>
      </c>
      <c r="E61" s="223">
        <f>COUNT(E63:E64)</f>
        <v>2</v>
      </c>
      <c r="F61" s="223">
        <f t="shared" ref="F61:V61" si="24">SUM(F63:F64)</f>
        <v>8</v>
      </c>
      <c r="G61" s="223">
        <f t="shared" si="24"/>
        <v>192</v>
      </c>
      <c r="H61" s="223">
        <f t="shared" si="24"/>
        <v>12</v>
      </c>
      <c r="I61" s="223">
        <f t="shared" si="24"/>
        <v>0</v>
      </c>
      <c r="J61" s="223">
        <f t="shared" si="24"/>
        <v>0</v>
      </c>
      <c r="K61" s="223">
        <f t="shared" si="24"/>
        <v>0</v>
      </c>
      <c r="L61" s="223">
        <f t="shared" si="24"/>
        <v>0</v>
      </c>
      <c r="M61" s="223">
        <f t="shared" si="24"/>
        <v>180</v>
      </c>
      <c r="N61" s="223">
        <f t="shared" si="24"/>
        <v>0</v>
      </c>
      <c r="O61" s="223">
        <f t="shared" si="24"/>
        <v>0</v>
      </c>
      <c r="P61" s="223">
        <f t="shared" si="24"/>
        <v>0</v>
      </c>
      <c r="Q61" s="223">
        <f t="shared" si="24"/>
        <v>0</v>
      </c>
      <c r="R61" s="223">
        <f t="shared" si="24"/>
        <v>0</v>
      </c>
      <c r="S61" s="223">
        <f t="shared" si="24"/>
        <v>192</v>
      </c>
      <c r="T61" s="223">
        <f t="shared" si="24"/>
        <v>0</v>
      </c>
      <c r="U61" s="223">
        <f t="shared" si="24"/>
        <v>0</v>
      </c>
      <c r="V61" s="223">
        <f t="shared" si="24"/>
        <v>0</v>
      </c>
      <c r="W61" s="163"/>
      <c r="X61" s="151">
        <f t="shared" si="10"/>
        <v>192</v>
      </c>
      <c r="Y61" s="216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</row>
    <row r="62" spans="1:35" s="153" customFormat="1" ht="54.75" customHeight="1" outlineLevel="2" x14ac:dyDescent="0.3">
      <c r="A62" s="175"/>
      <c r="B62" s="683" t="s">
        <v>545</v>
      </c>
      <c r="C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P62" s="683"/>
      <c r="Q62" s="683"/>
      <c r="R62" s="683"/>
      <c r="S62" s="683"/>
      <c r="T62" s="683"/>
      <c r="U62" s="683"/>
      <c r="V62" s="683"/>
      <c r="W62" s="258"/>
      <c r="X62" s="151">
        <f t="shared" si="10"/>
        <v>0</v>
      </c>
      <c r="Y62" s="152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</row>
    <row r="63" spans="1:35" s="153" customFormat="1" ht="39.6" outlineLevel="2" x14ac:dyDescent="0.3">
      <c r="A63" s="147" t="s">
        <v>552</v>
      </c>
      <c r="B63" s="186" t="s">
        <v>553</v>
      </c>
      <c r="C63" s="187"/>
      <c r="D63" s="188"/>
      <c r="E63" s="188">
        <v>2</v>
      </c>
      <c r="F63" s="188">
        <f t="shared" ref="F63:F64" si="25">G63/24</f>
        <v>1.5</v>
      </c>
      <c r="G63" s="189">
        <v>36</v>
      </c>
      <c r="H63" s="190"/>
      <c r="I63" s="188"/>
      <c r="J63" s="147"/>
      <c r="K63" s="190"/>
      <c r="L63" s="190"/>
      <c r="M63" s="190">
        <v>36</v>
      </c>
      <c r="N63" s="147"/>
      <c r="O63" s="191"/>
      <c r="P63" s="191"/>
      <c r="Q63" s="192"/>
      <c r="R63" s="193"/>
      <c r="S63" s="194">
        <v>36</v>
      </c>
      <c r="T63" s="194"/>
      <c r="U63" s="194"/>
      <c r="V63" s="147"/>
      <c r="W63" s="150"/>
      <c r="X63" s="151">
        <f t="shared" si="10"/>
        <v>36</v>
      </c>
      <c r="Y63" s="152"/>
      <c r="Z63" s="151">
        <f t="shared" ref="Z63:Z77" si="26">SUM(H63:J63)+M63</f>
        <v>36</v>
      </c>
      <c r="AA63" s="151"/>
      <c r="AB63" s="151"/>
      <c r="AC63" s="151"/>
      <c r="AD63" s="151"/>
      <c r="AE63" s="151"/>
      <c r="AF63" s="151"/>
      <c r="AG63" s="151"/>
      <c r="AH63" s="151"/>
      <c r="AI63" s="151"/>
    </row>
    <row r="64" spans="1:35" s="153" customFormat="1" ht="26.4" outlineLevel="2" x14ac:dyDescent="0.3">
      <c r="A64" s="147" t="s">
        <v>556</v>
      </c>
      <c r="B64" s="186" t="s">
        <v>557</v>
      </c>
      <c r="C64" s="187"/>
      <c r="D64" s="188">
        <v>6</v>
      </c>
      <c r="E64" s="188">
        <v>2</v>
      </c>
      <c r="F64" s="188">
        <f t="shared" si="25"/>
        <v>6.5</v>
      </c>
      <c r="G64" s="189">
        <v>156</v>
      </c>
      <c r="H64" s="190">
        <v>12</v>
      </c>
      <c r="I64" s="188"/>
      <c r="J64" s="147"/>
      <c r="K64" s="190"/>
      <c r="L64" s="190"/>
      <c r="M64" s="190">
        <v>144</v>
      </c>
      <c r="N64" s="147"/>
      <c r="O64" s="191"/>
      <c r="P64" s="191"/>
      <c r="Q64" s="192"/>
      <c r="R64" s="193"/>
      <c r="S64" s="194">
        <v>156</v>
      </c>
      <c r="T64" s="194"/>
      <c r="U64" s="194"/>
      <c r="V64" s="147"/>
      <c r="W64" s="259"/>
      <c r="X64" s="151">
        <f t="shared" si="10"/>
        <v>156</v>
      </c>
      <c r="Y64" s="152"/>
      <c r="Z64" s="151">
        <f t="shared" si="26"/>
        <v>156</v>
      </c>
      <c r="AA64" s="151"/>
      <c r="AB64" s="151"/>
      <c r="AC64" s="151"/>
      <c r="AD64" s="151"/>
      <c r="AE64" s="151"/>
      <c r="AF64" s="151"/>
      <c r="AG64" s="151"/>
      <c r="AH64" s="151"/>
      <c r="AI64" s="151"/>
    </row>
    <row r="65" spans="1:35" s="218" customFormat="1" ht="52.8" outlineLevel="2" x14ac:dyDescent="0.3">
      <c r="A65" s="228" t="s">
        <v>558</v>
      </c>
      <c r="B65" s="212" t="s">
        <v>559</v>
      </c>
      <c r="C65" s="223">
        <f>COUNT(C67:C68)</f>
        <v>1</v>
      </c>
      <c r="D65" s="223">
        <f t="shared" ref="D65:E65" si="27">COUNT(D67:D68)</f>
        <v>2</v>
      </c>
      <c r="E65" s="223">
        <f t="shared" si="27"/>
        <v>2</v>
      </c>
      <c r="F65" s="214">
        <f>SUM(F67:F68)</f>
        <v>17</v>
      </c>
      <c r="G65" s="214">
        <f>SUM(G67:G68)</f>
        <v>408</v>
      </c>
      <c r="H65" s="214">
        <f t="shared" ref="H65:V65" si="28">SUM(H67:H68)</f>
        <v>54</v>
      </c>
      <c r="I65" s="214">
        <f t="shared" si="28"/>
        <v>0</v>
      </c>
      <c r="J65" s="214">
        <f t="shared" si="28"/>
        <v>30</v>
      </c>
      <c r="K65" s="214">
        <f t="shared" si="28"/>
        <v>0</v>
      </c>
      <c r="L65" s="214">
        <f t="shared" si="28"/>
        <v>0</v>
      </c>
      <c r="M65" s="214">
        <f t="shared" si="28"/>
        <v>324</v>
      </c>
      <c r="N65" s="214"/>
      <c r="O65" s="214">
        <f t="shared" si="28"/>
        <v>0</v>
      </c>
      <c r="P65" s="214">
        <f t="shared" si="28"/>
        <v>0</v>
      </c>
      <c r="Q65" s="214">
        <f t="shared" si="28"/>
        <v>0</v>
      </c>
      <c r="R65" s="214">
        <f t="shared" si="28"/>
        <v>0</v>
      </c>
      <c r="S65" s="214">
        <f t="shared" si="28"/>
        <v>340</v>
      </c>
      <c r="T65" s="214">
        <f t="shared" si="28"/>
        <v>68</v>
      </c>
      <c r="U65" s="214">
        <f t="shared" si="28"/>
        <v>0</v>
      </c>
      <c r="V65" s="214">
        <f t="shared" si="28"/>
        <v>0</v>
      </c>
      <c r="W65" s="163"/>
      <c r="X65" s="151">
        <f t="shared" si="10"/>
        <v>408</v>
      </c>
      <c r="Y65" s="216"/>
      <c r="Z65" s="151">
        <f t="shared" si="26"/>
        <v>408</v>
      </c>
      <c r="AA65" s="217"/>
      <c r="AB65" s="217"/>
      <c r="AC65" s="217"/>
      <c r="AD65" s="217"/>
      <c r="AE65" s="217"/>
      <c r="AF65" s="217"/>
      <c r="AG65" s="217"/>
      <c r="AH65" s="217"/>
      <c r="AI65" s="217"/>
    </row>
    <row r="66" spans="1:35" s="153" customFormat="1" ht="52.5" customHeight="1" outlineLevel="2" x14ac:dyDescent="0.3">
      <c r="A66" s="231"/>
      <c r="B66" s="683" t="s">
        <v>560</v>
      </c>
      <c r="C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P66" s="683"/>
      <c r="Q66" s="683"/>
      <c r="R66" s="683"/>
      <c r="S66" s="683"/>
      <c r="T66" s="683"/>
      <c r="U66" s="683"/>
      <c r="V66" s="683"/>
      <c r="X66" s="151">
        <f t="shared" si="10"/>
        <v>0</v>
      </c>
      <c r="Y66" s="152"/>
      <c r="Z66" s="151">
        <f t="shared" si="26"/>
        <v>0</v>
      </c>
      <c r="AA66" s="151"/>
      <c r="AB66" s="151"/>
      <c r="AC66" s="151"/>
      <c r="AD66" s="151"/>
      <c r="AE66" s="151"/>
      <c r="AF66" s="151"/>
      <c r="AG66" s="151"/>
      <c r="AH66" s="151"/>
      <c r="AI66" s="151"/>
    </row>
    <row r="67" spans="1:35" s="153" customFormat="1" ht="26.4" outlineLevel="2" x14ac:dyDescent="0.3">
      <c r="A67" s="219" t="s">
        <v>561</v>
      </c>
      <c r="B67" s="179" t="s">
        <v>562</v>
      </c>
      <c r="C67" s="260">
        <v>5</v>
      </c>
      <c r="D67" s="147">
        <v>6</v>
      </c>
      <c r="E67" s="147">
        <v>2</v>
      </c>
      <c r="F67" s="147">
        <f>G67/24</f>
        <v>12</v>
      </c>
      <c r="G67" s="261">
        <v>288</v>
      </c>
      <c r="H67" s="236">
        <v>42</v>
      </c>
      <c r="I67" s="147"/>
      <c r="J67" s="236">
        <v>30</v>
      </c>
      <c r="K67" s="147"/>
      <c r="L67" s="236"/>
      <c r="M67" s="236">
        <v>216</v>
      </c>
      <c r="N67" s="147"/>
      <c r="O67" s="262"/>
      <c r="P67" s="262"/>
      <c r="Q67" s="201"/>
      <c r="R67" s="194"/>
      <c r="S67" s="194">
        <v>220</v>
      </c>
      <c r="T67" s="194">
        <v>68</v>
      </c>
      <c r="U67" s="147"/>
      <c r="V67" s="263"/>
      <c r="W67" s="150"/>
      <c r="X67" s="151">
        <f t="shared" si="10"/>
        <v>288</v>
      </c>
      <c r="Y67" s="152"/>
      <c r="Z67" s="151">
        <f t="shared" si="26"/>
        <v>288</v>
      </c>
      <c r="AA67" s="151"/>
      <c r="AB67" s="151"/>
      <c r="AC67" s="151"/>
      <c r="AD67" s="151"/>
      <c r="AE67" s="151"/>
      <c r="AF67" s="151"/>
      <c r="AG67" s="151"/>
      <c r="AH67" s="151"/>
      <c r="AI67" s="151"/>
    </row>
    <row r="68" spans="1:35" s="153" customFormat="1" ht="26.4" outlineLevel="2" x14ac:dyDescent="0.3">
      <c r="A68" s="264" t="s">
        <v>563</v>
      </c>
      <c r="B68" s="179" t="s">
        <v>564</v>
      </c>
      <c r="C68" s="187"/>
      <c r="D68" s="188">
        <v>5</v>
      </c>
      <c r="E68" s="188">
        <v>2</v>
      </c>
      <c r="F68" s="147">
        <f t="shared" ref="F68" si="29">G68/24</f>
        <v>5</v>
      </c>
      <c r="G68" s="261">
        <v>120</v>
      </c>
      <c r="H68" s="236">
        <v>12</v>
      </c>
      <c r="I68" s="147"/>
      <c r="J68" s="190"/>
      <c r="K68" s="147"/>
      <c r="L68" s="190"/>
      <c r="M68" s="236">
        <v>108</v>
      </c>
      <c r="N68" s="147"/>
      <c r="O68" s="262"/>
      <c r="P68" s="262"/>
      <c r="Q68" s="201"/>
      <c r="R68" s="194"/>
      <c r="S68" s="194">
        <v>120</v>
      </c>
      <c r="T68" s="194"/>
      <c r="U68" s="147"/>
      <c r="V68" s="263"/>
      <c r="W68" s="150"/>
      <c r="X68" s="151">
        <f t="shared" si="10"/>
        <v>120</v>
      </c>
      <c r="Y68" s="152"/>
      <c r="Z68" s="151">
        <f t="shared" si="26"/>
        <v>120</v>
      </c>
      <c r="AA68" s="151"/>
      <c r="AB68" s="151"/>
      <c r="AC68" s="151"/>
      <c r="AD68" s="151"/>
      <c r="AE68" s="151"/>
      <c r="AF68" s="151"/>
      <c r="AG68" s="151"/>
      <c r="AH68" s="151"/>
      <c r="AI68" s="151"/>
    </row>
    <row r="69" spans="1:35" s="218" customFormat="1" ht="26.4" outlineLevel="2" x14ac:dyDescent="0.3">
      <c r="A69" s="211" t="s">
        <v>565</v>
      </c>
      <c r="B69" s="212" t="s">
        <v>566</v>
      </c>
      <c r="C69" s="223">
        <f>COUNT(C71:C73)</f>
        <v>1</v>
      </c>
      <c r="D69" s="223">
        <f>COUNT(D71:D73)</f>
        <v>3</v>
      </c>
      <c r="E69" s="223">
        <f>COUNT(E71:E73)</f>
        <v>3</v>
      </c>
      <c r="F69" s="214">
        <f t="shared" ref="F69:V69" si="30">SUM(F71:F73)</f>
        <v>10.5</v>
      </c>
      <c r="G69" s="214">
        <f t="shared" si="30"/>
        <v>252</v>
      </c>
      <c r="H69" s="214">
        <f t="shared" si="30"/>
        <v>48</v>
      </c>
      <c r="I69" s="214">
        <f t="shared" si="30"/>
        <v>0</v>
      </c>
      <c r="J69" s="214">
        <f t="shared" si="30"/>
        <v>0</v>
      </c>
      <c r="K69" s="214">
        <f t="shared" si="30"/>
        <v>0</v>
      </c>
      <c r="L69" s="214">
        <f t="shared" si="30"/>
        <v>0</v>
      </c>
      <c r="M69" s="214">
        <f t="shared" si="30"/>
        <v>204</v>
      </c>
      <c r="N69" s="214"/>
      <c r="O69" s="214">
        <f t="shared" si="30"/>
        <v>0</v>
      </c>
      <c r="P69" s="214">
        <f t="shared" si="30"/>
        <v>0</v>
      </c>
      <c r="Q69" s="214">
        <f t="shared" si="30"/>
        <v>0</v>
      </c>
      <c r="R69" s="214">
        <f t="shared" si="30"/>
        <v>0</v>
      </c>
      <c r="S69" s="214">
        <f t="shared" si="30"/>
        <v>122</v>
      </c>
      <c r="T69" s="214">
        <f t="shared" si="30"/>
        <v>130</v>
      </c>
      <c r="U69" s="214">
        <f t="shared" si="30"/>
        <v>0</v>
      </c>
      <c r="V69" s="214">
        <f t="shared" si="30"/>
        <v>0</v>
      </c>
      <c r="W69" s="163"/>
      <c r="X69" s="151">
        <f t="shared" si="10"/>
        <v>252</v>
      </c>
      <c r="Y69" s="216"/>
      <c r="Z69" s="151">
        <f t="shared" si="26"/>
        <v>252</v>
      </c>
      <c r="AA69" s="217"/>
      <c r="AB69" s="217"/>
      <c r="AC69" s="217"/>
      <c r="AD69" s="217"/>
      <c r="AE69" s="217"/>
      <c r="AF69" s="217"/>
      <c r="AG69" s="217"/>
      <c r="AH69" s="217"/>
      <c r="AI69" s="217"/>
    </row>
    <row r="70" spans="1:35" s="153" customFormat="1" ht="48.75" customHeight="1" outlineLevel="2" x14ac:dyDescent="0.3">
      <c r="A70" s="175"/>
      <c r="B70" s="701" t="s">
        <v>567</v>
      </c>
      <c r="C70" s="702"/>
      <c r="D70" s="702"/>
      <c r="E70" s="702"/>
      <c r="F70" s="702"/>
      <c r="G70" s="702"/>
      <c r="H70" s="702"/>
      <c r="I70" s="702"/>
      <c r="J70" s="702"/>
      <c r="K70" s="702"/>
      <c r="L70" s="702"/>
      <c r="M70" s="702"/>
      <c r="N70" s="702"/>
      <c r="O70" s="702"/>
      <c r="P70" s="702"/>
      <c r="Q70" s="702"/>
      <c r="R70" s="702"/>
      <c r="S70" s="702"/>
      <c r="T70" s="702"/>
      <c r="U70" s="702"/>
      <c r="V70" s="703"/>
      <c r="W70" s="150"/>
      <c r="X70" s="151">
        <f t="shared" si="10"/>
        <v>0</v>
      </c>
      <c r="Y70" s="152"/>
      <c r="Z70" s="151">
        <f t="shared" si="26"/>
        <v>0</v>
      </c>
      <c r="AA70" s="151"/>
      <c r="AB70" s="151"/>
      <c r="AC70" s="151"/>
      <c r="AD70" s="151"/>
      <c r="AE70" s="151"/>
      <c r="AF70" s="151"/>
      <c r="AG70" s="151"/>
      <c r="AH70" s="151"/>
      <c r="AI70" s="151"/>
    </row>
    <row r="71" spans="1:35" s="153" customFormat="1" ht="26.4" outlineLevel="2" x14ac:dyDescent="0.3">
      <c r="A71" s="177" t="s">
        <v>568</v>
      </c>
      <c r="B71" s="178" t="s">
        <v>569</v>
      </c>
      <c r="C71" s="187">
        <v>5</v>
      </c>
      <c r="D71" s="188">
        <v>6</v>
      </c>
      <c r="E71" s="188">
        <v>2</v>
      </c>
      <c r="F71" s="147">
        <f t="shared" ref="F71:F73" si="31">G71/24</f>
        <v>7.5</v>
      </c>
      <c r="G71" s="189">
        <v>180</v>
      </c>
      <c r="H71" s="190">
        <v>36</v>
      </c>
      <c r="I71" s="147"/>
      <c r="J71" s="147"/>
      <c r="K71" s="190"/>
      <c r="L71" s="190"/>
      <c r="M71" s="236">
        <v>144</v>
      </c>
      <c r="N71" s="147"/>
      <c r="O71" s="191"/>
      <c r="P71" s="191"/>
      <c r="Q71" s="201"/>
      <c r="R71" s="193"/>
      <c r="S71" s="194">
        <v>50</v>
      </c>
      <c r="T71" s="147">
        <v>130</v>
      </c>
      <c r="U71" s="147"/>
      <c r="V71" s="147"/>
      <c r="W71" s="150"/>
      <c r="X71" s="151">
        <f t="shared" si="10"/>
        <v>180</v>
      </c>
      <c r="Y71" s="152"/>
      <c r="Z71" s="151">
        <f t="shared" si="26"/>
        <v>180</v>
      </c>
      <c r="AA71" s="151"/>
      <c r="AB71" s="151"/>
      <c r="AC71" s="151"/>
      <c r="AD71" s="151"/>
      <c r="AE71" s="151"/>
      <c r="AF71" s="151"/>
      <c r="AG71" s="151"/>
      <c r="AH71" s="151"/>
      <c r="AI71" s="151"/>
    </row>
    <row r="72" spans="1:35" s="153" customFormat="1" outlineLevel="2" x14ac:dyDescent="0.3">
      <c r="A72" s="177" t="s">
        <v>570</v>
      </c>
      <c r="B72" s="179" t="s">
        <v>571</v>
      </c>
      <c r="C72" s="260"/>
      <c r="D72" s="147">
        <v>5</v>
      </c>
      <c r="E72" s="147">
        <v>1</v>
      </c>
      <c r="F72" s="147">
        <f t="shared" si="31"/>
        <v>1.5</v>
      </c>
      <c r="G72" s="261">
        <v>36</v>
      </c>
      <c r="H72" s="236">
        <v>12</v>
      </c>
      <c r="I72" s="147"/>
      <c r="J72" s="147"/>
      <c r="K72" s="236"/>
      <c r="L72" s="236"/>
      <c r="M72" s="236">
        <v>24</v>
      </c>
      <c r="N72" s="147"/>
      <c r="O72" s="262"/>
      <c r="P72" s="262"/>
      <c r="Q72" s="201"/>
      <c r="R72" s="194"/>
      <c r="S72" s="194">
        <v>36</v>
      </c>
      <c r="T72" s="147"/>
      <c r="U72" s="147"/>
      <c r="V72" s="147"/>
      <c r="W72" s="150"/>
      <c r="X72" s="151">
        <f t="shared" si="10"/>
        <v>36</v>
      </c>
      <c r="Y72" s="152"/>
      <c r="Z72" s="151">
        <f t="shared" si="26"/>
        <v>36</v>
      </c>
      <c r="AA72" s="151"/>
      <c r="AB72" s="151"/>
      <c r="AC72" s="151"/>
      <c r="AD72" s="151"/>
      <c r="AE72" s="151"/>
      <c r="AF72" s="151"/>
      <c r="AG72" s="151"/>
      <c r="AH72" s="151"/>
      <c r="AI72" s="151"/>
    </row>
    <row r="73" spans="1:35" s="153" customFormat="1" outlineLevel="2" x14ac:dyDescent="0.3">
      <c r="A73" s="177" t="s">
        <v>737</v>
      </c>
      <c r="B73" s="179" t="s">
        <v>572</v>
      </c>
      <c r="C73" s="260"/>
      <c r="D73" s="147">
        <v>5</v>
      </c>
      <c r="E73" s="147">
        <v>1</v>
      </c>
      <c r="F73" s="147">
        <f t="shared" si="31"/>
        <v>1.5</v>
      </c>
      <c r="G73" s="261">
        <v>36</v>
      </c>
      <c r="H73" s="236"/>
      <c r="I73" s="147"/>
      <c r="J73" s="147"/>
      <c r="K73" s="236"/>
      <c r="L73" s="236"/>
      <c r="M73" s="236">
        <v>36</v>
      </c>
      <c r="N73" s="147"/>
      <c r="O73" s="262"/>
      <c r="P73" s="262"/>
      <c r="Q73" s="201"/>
      <c r="R73" s="194"/>
      <c r="S73" s="194">
        <v>36</v>
      </c>
      <c r="T73" s="147"/>
      <c r="U73" s="147"/>
      <c r="V73" s="147"/>
      <c r="W73" s="259"/>
      <c r="X73" s="151">
        <f t="shared" si="10"/>
        <v>36</v>
      </c>
      <c r="Y73" s="152"/>
      <c r="Z73" s="151">
        <f t="shared" si="26"/>
        <v>36</v>
      </c>
      <c r="AA73" s="151"/>
      <c r="AB73" s="151"/>
      <c r="AC73" s="151"/>
      <c r="AD73" s="151"/>
      <c r="AE73" s="151"/>
      <c r="AF73" s="151"/>
      <c r="AG73" s="151"/>
      <c r="AH73" s="151"/>
      <c r="AI73" s="151"/>
    </row>
    <row r="74" spans="1:35" s="218" customFormat="1" ht="39.6" outlineLevel="2" x14ac:dyDescent="0.3">
      <c r="A74" s="211" t="s">
        <v>573</v>
      </c>
      <c r="B74" s="212" t="s">
        <v>574</v>
      </c>
      <c r="C74" s="213"/>
      <c r="D74" s="265">
        <v>1</v>
      </c>
      <c r="E74" s="265"/>
      <c r="F74" s="265">
        <v>3</v>
      </c>
      <c r="G74" s="215">
        <v>72</v>
      </c>
      <c r="H74" s="266"/>
      <c r="I74" s="265"/>
      <c r="J74" s="265"/>
      <c r="K74" s="266"/>
      <c r="L74" s="266"/>
      <c r="M74" s="266">
        <v>72</v>
      </c>
      <c r="N74" s="265"/>
      <c r="O74" s="267"/>
      <c r="P74" s="267"/>
      <c r="Q74" s="268"/>
      <c r="R74" s="269"/>
      <c r="S74" s="269">
        <v>72</v>
      </c>
      <c r="T74" s="265"/>
      <c r="U74" s="265"/>
      <c r="V74" s="265"/>
      <c r="W74" s="163"/>
      <c r="X74" s="151">
        <f t="shared" si="10"/>
        <v>72</v>
      </c>
      <c r="Y74" s="216"/>
      <c r="Z74" s="151">
        <f t="shared" si="26"/>
        <v>72</v>
      </c>
      <c r="AA74" s="217"/>
      <c r="AB74" s="217"/>
      <c r="AC74" s="217"/>
      <c r="AD74" s="217"/>
      <c r="AE74" s="217"/>
      <c r="AF74" s="217"/>
      <c r="AG74" s="217"/>
      <c r="AH74" s="217"/>
      <c r="AI74" s="217"/>
    </row>
    <row r="75" spans="1:35" s="273" customFormat="1" ht="50.25" customHeight="1" outlineLevel="2" x14ac:dyDescent="0.3">
      <c r="A75" s="270"/>
      <c r="B75" s="710" t="s">
        <v>575</v>
      </c>
      <c r="C75" s="711"/>
      <c r="D75" s="711"/>
      <c r="E75" s="711"/>
      <c r="F75" s="711"/>
      <c r="G75" s="711"/>
      <c r="H75" s="711"/>
      <c r="I75" s="711"/>
      <c r="J75" s="711"/>
      <c r="K75" s="711"/>
      <c r="L75" s="711"/>
      <c r="M75" s="711"/>
      <c r="N75" s="711"/>
      <c r="O75" s="711"/>
      <c r="P75" s="711"/>
      <c r="Q75" s="711"/>
      <c r="R75" s="711"/>
      <c r="S75" s="711"/>
      <c r="T75" s="711"/>
      <c r="U75" s="711"/>
      <c r="V75" s="712"/>
      <c r="W75" s="259"/>
      <c r="X75" s="151">
        <f t="shared" si="10"/>
        <v>0</v>
      </c>
      <c r="Y75" s="271"/>
      <c r="Z75" s="151">
        <f t="shared" si="26"/>
        <v>0</v>
      </c>
      <c r="AA75" s="272"/>
      <c r="AB75" s="272"/>
      <c r="AC75" s="272"/>
      <c r="AD75" s="272"/>
      <c r="AE75" s="272"/>
      <c r="AF75" s="272"/>
      <c r="AG75" s="272"/>
      <c r="AH75" s="272"/>
      <c r="AI75" s="272"/>
    </row>
    <row r="76" spans="1:35" s="153" customFormat="1" outlineLevel="2" x14ac:dyDescent="0.3">
      <c r="A76" s="177" t="s">
        <v>576</v>
      </c>
      <c r="B76" s="147" t="s">
        <v>577</v>
      </c>
      <c r="C76" s="260"/>
      <c r="D76" s="147">
        <v>6</v>
      </c>
      <c r="E76" s="147"/>
      <c r="F76" s="147">
        <v>3</v>
      </c>
      <c r="G76" s="261">
        <v>72</v>
      </c>
      <c r="H76" s="236"/>
      <c r="I76" s="147"/>
      <c r="J76" s="147"/>
      <c r="K76" s="236"/>
      <c r="L76" s="236"/>
      <c r="M76" s="236">
        <v>72</v>
      </c>
      <c r="N76" s="236"/>
      <c r="O76" s="262"/>
      <c r="P76" s="262"/>
      <c r="Q76" s="201"/>
      <c r="R76" s="194"/>
      <c r="S76" s="194">
        <v>72</v>
      </c>
      <c r="T76" s="147"/>
      <c r="U76" s="147"/>
      <c r="V76" s="147"/>
      <c r="W76" s="259"/>
      <c r="X76" s="151">
        <f t="shared" si="10"/>
        <v>72</v>
      </c>
      <c r="Y76" s="152"/>
      <c r="Z76" s="151">
        <f t="shared" si="26"/>
        <v>72</v>
      </c>
      <c r="AA76" s="151"/>
      <c r="AB76" s="151"/>
      <c r="AC76" s="151"/>
      <c r="AD76" s="151"/>
      <c r="AE76" s="151"/>
      <c r="AF76" s="151"/>
      <c r="AG76" s="151"/>
      <c r="AH76" s="151"/>
      <c r="AI76" s="151"/>
    </row>
    <row r="77" spans="1:35" s="218" customFormat="1" ht="26.4" outlineLevel="2" x14ac:dyDescent="0.3">
      <c r="A77" s="274" t="s">
        <v>578</v>
      </c>
      <c r="B77" s="229" t="s">
        <v>579</v>
      </c>
      <c r="C77" s="213">
        <v>1</v>
      </c>
      <c r="D77" s="265"/>
      <c r="E77" s="265"/>
      <c r="F77" s="265">
        <v>9</v>
      </c>
      <c r="G77" s="215">
        <v>216</v>
      </c>
      <c r="H77" s="266"/>
      <c r="I77" s="265"/>
      <c r="J77" s="265"/>
      <c r="K77" s="266"/>
      <c r="L77" s="266"/>
      <c r="M77" s="266">
        <v>216</v>
      </c>
      <c r="N77" s="266"/>
      <c r="O77" s="267"/>
      <c r="P77" s="267"/>
      <c r="Q77" s="268"/>
      <c r="R77" s="269"/>
      <c r="S77" s="269"/>
      <c r="T77" s="265">
        <v>216</v>
      </c>
      <c r="U77" s="265"/>
      <c r="V77" s="265"/>
      <c r="W77" s="163"/>
      <c r="X77" s="217"/>
      <c r="Y77" s="216"/>
      <c r="Z77" s="217">
        <f t="shared" si="26"/>
        <v>216</v>
      </c>
      <c r="AA77" s="217"/>
      <c r="AB77" s="217"/>
      <c r="AC77" s="217"/>
      <c r="AD77" s="217"/>
      <c r="AE77" s="217"/>
      <c r="AF77" s="217"/>
      <c r="AG77" s="217"/>
      <c r="AH77" s="217"/>
      <c r="AI77" s="217"/>
    </row>
    <row r="78" spans="1:35" s="273" customFormat="1" ht="46.5" customHeight="1" outlineLevel="2" x14ac:dyDescent="0.3">
      <c r="A78" s="275"/>
      <c r="B78" s="710" t="s">
        <v>580</v>
      </c>
      <c r="C78" s="711"/>
      <c r="D78" s="711"/>
      <c r="E78" s="711"/>
      <c r="F78" s="711"/>
      <c r="G78" s="711"/>
      <c r="H78" s="711"/>
      <c r="I78" s="711"/>
      <c r="J78" s="711"/>
      <c r="K78" s="711"/>
      <c r="L78" s="711"/>
      <c r="M78" s="711"/>
      <c r="N78" s="711"/>
      <c r="O78" s="711"/>
      <c r="P78" s="711"/>
      <c r="Q78" s="711"/>
      <c r="R78" s="711"/>
      <c r="S78" s="711"/>
      <c r="T78" s="711"/>
      <c r="U78" s="711"/>
      <c r="V78" s="712"/>
      <c r="W78" s="259"/>
      <c r="X78" s="272"/>
      <c r="Y78" s="271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</row>
    <row r="79" spans="1:35" s="153" customFormat="1" ht="26.4" outlineLevel="2" x14ac:dyDescent="0.3">
      <c r="A79" s="177" t="s">
        <v>581</v>
      </c>
      <c r="B79" s="195" t="s">
        <v>582</v>
      </c>
      <c r="C79" s="260">
        <v>6</v>
      </c>
      <c r="D79" s="147"/>
      <c r="E79" s="147"/>
      <c r="F79" s="147">
        <f>G79/24</f>
        <v>9</v>
      </c>
      <c r="G79" s="261">
        <v>216</v>
      </c>
      <c r="H79" s="236"/>
      <c r="I79" s="147"/>
      <c r="J79" s="147"/>
      <c r="K79" s="236"/>
      <c r="L79" s="236"/>
      <c r="M79" s="236">
        <v>216</v>
      </c>
      <c r="N79" s="236"/>
      <c r="O79" s="262"/>
      <c r="P79" s="262"/>
      <c r="Q79" s="201"/>
      <c r="R79" s="194"/>
      <c r="S79" s="194"/>
      <c r="T79" s="147">
        <v>216</v>
      </c>
      <c r="U79" s="147"/>
      <c r="V79" s="147"/>
      <c r="W79" s="259"/>
      <c r="X79" s="151"/>
      <c r="Y79" s="152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</row>
    <row r="80" spans="1:35" s="278" customFormat="1" ht="39" customHeight="1" x14ac:dyDescent="0.3">
      <c r="A80" s="211" t="s">
        <v>583</v>
      </c>
      <c r="B80" s="276" t="s">
        <v>584</v>
      </c>
      <c r="C80" s="277">
        <f>COUNT(C82:C84)</f>
        <v>0</v>
      </c>
      <c r="D80" s="277">
        <f>COUNT(D82:D84)</f>
        <v>3</v>
      </c>
      <c r="E80" s="277">
        <f>COUNT(E82:E84)</f>
        <v>3</v>
      </c>
      <c r="F80" s="215">
        <f t="shared" ref="F80:M80" si="32">SUM(F82:F84)</f>
        <v>5</v>
      </c>
      <c r="G80" s="215">
        <f t="shared" si="32"/>
        <v>120</v>
      </c>
      <c r="H80" s="215">
        <f t="shared" si="32"/>
        <v>12</v>
      </c>
      <c r="I80" s="215">
        <f t="shared" si="32"/>
        <v>0</v>
      </c>
      <c r="J80" s="215">
        <f t="shared" si="32"/>
        <v>0</v>
      </c>
      <c r="K80" s="215">
        <f t="shared" si="32"/>
        <v>0</v>
      </c>
      <c r="L80" s="215">
        <f t="shared" si="32"/>
        <v>0</v>
      </c>
      <c r="M80" s="215">
        <f t="shared" si="32"/>
        <v>108</v>
      </c>
      <c r="N80" s="215"/>
      <c r="O80" s="215">
        <f t="shared" ref="O80:V80" si="33">SUM(O82:O84)</f>
        <v>0</v>
      </c>
      <c r="P80" s="215">
        <f t="shared" si="33"/>
        <v>0</v>
      </c>
      <c r="Q80" s="214">
        <f t="shared" si="33"/>
        <v>0</v>
      </c>
      <c r="R80" s="214">
        <f t="shared" si="33"/>
        <v>0</v>
      </c>
      <c r="S80" s="215">
        <f t="shared" si="33"/>
        <v>0</v>
      </c>
      <c r="T80" s="215">
        <f t="shared" si="33"/>
        <v>120</v>
      </c>
      <c r="U80" s="215">
        <f t="shared" si="33"/>
        <v>0</v>
      </c>
      <c r="V80" s="215">
        <f t="shared" si="33"/>
        <v>0</v>
      </c>
      <c r="W80" s="163"/>
      <c r="X80" s="151">
        <f t="shared" ref="X80:X83" si="34">SUM(Q80:W80)</f>
        <v>120</v>
      </c>
      <c r="Y80" s="216"/>
      <c r="Z80" s="151">
        <f t="shared" ref="Z80:Z84" si="35">SUM(H80:J80)+M80</f>
        <v>120</v>
      </c>
      <c r="AA80" s="216"/>
      <c r="AB80" s="216"/>
      <c r="AC80" s="216"/>
      <c r="AD80" s="216"/>
      <c r="AE80" s="216"/>
      <c r="AF80" s="216"/>
      <c r="AG80" s="216"/>
      <c r="AH80" s="216"/>
      <c r="AI80" s="216"/>
    </row>
    <row r="81" spans="1:35" s="176" customFormat="1" ht="39" customHeight="1" x14ac:dyDescent="0.3">
      <c r="A81" s="175"/>
      <c r="B81" s="698" t="s">
        <v>585</v>
      </c>
      <c r="C81" s="699"/>
      <c r="D81" s="699"/>
      <c r="E81" s="699"/>
      <c r="F81" s="699"/>
      <c r="G81" s="699"/>
      <c r="H81" s="699"/>
      <c r="I81" s="699"/>
      <c r="J81" s="699"/>
      <c r="K81" s="699"/>
      <c r="L81" s="699"/>
      <c r="M81" s="699"/>
      <c r="N81" s="699"/>
      <c r="O81" s="699"/>
      <c r="P81" s="699"/>
      <c r="Q81" s="699"/>
      <c r="R81" s="699"/>
      <c r="S81" s="699"/>
      <c r="T81" s="699"/>
      <c r="U81" s="699"/>
      <c r="V81" s="700"/>
      <c r="W81" s="150"/>
      <c r="X81" s="151">
        <f t="shared" si="34"/>
        <v>0</v>
      </c>
      <c r="Y81" s="152"/>
      <c r="Z81" s="151">
        <f t="shared" si="35"/>
        <v>0</v>
      </c>
      <c r="AA81" s="152"/>
      <c r="AB81" s="152"/>
      <c r="AC81" s="152"/>
      <c r="AD81" s="152"/>
      <c r="AE81" s="152"/>
      <c r="AF81" s="152"/>
      <c r="AG81" s="152"/>
      <c r="AH81" s="152"/>
      <c r="AI81" s="152"/>
    </row>
    <row r="82" spans="1:35" s="176" customFormat="1" ht="18" customHeight="1" x14ac:dyDescent="0.3">
      <c r="A82" s="279" t="s">
        <v>586</v>
      </c>
      <c r="B82" s="280" t="s">
        <v>587</v>
      </c>
      <c r="C82" s="187"/>
      <c r="D82" s="188">
        <v>6</v>
      </c>
      <c r="E82" s="188">
        <v>1</v>
      </c>
      <c r="F82" s="154">
        <f t="shared" ref="F82:F86" si="36">G82/24</f>
        <v>1.5</v>
      </c>
      <c r="G82" s="189">
        <v>36</v>
      </c>
      <c r="H82" s="190"/>
      <c r="I82" s="147"/>
      <c r="J82" s="190"/>
      <c r="K82" s="190"/>
      <c r="L82" s="190"/>
      <c r="M82" s="236">
        <v>36</v>
      </c>
      <c r="N82" s="191"/>
      <c r="O82" s="201"/>
      <c r="P82" s="193"/>
      <c r="Q82" s="194"/>
      <c r="R82" s="194"/>
      <c r="S82" s="194"/>
      <c r="T82" s="147">
        <v>36</v>
      </c>
      <c r="U82" s="149"/>
      <c r="V82" s="261"/>
      <c r="W82" s="259"/>
      <c r="X82" s="151">
        <f t="shared" si="34"/>
        <v>36</v>
      </c>
      <c r="Y82" s="152"/>
      <c r="Z82" s="151">
        <f t="shared" si="35"/>
        <v>36</v>
      </c>
      <c r="AA82" s="152"/>
      <c r="AB82" s="152"/>
      <c r="AC82" s="152"/>
      <c r="AD82" s="152"/>
      <c r="AE82" s="152"/>
      <c r="AF82" s="152"/>
      <c r="AG82" s="152"/>
      <c r="AH82" s="152"/>
      <c r="AI82" s="152"/>
    </row>
    <row r="83" spans="1:35" x14ac:dyDescent="0.25">
      <c r="A83" s="219" t="s">
        <v>588</v>
      </c>
      <c r="B83" s="205" t="s">
        <v>589</v>
      </c>
      <c r="C83" s="187"/>
      <c r="D83" s="188">
        <v>6</v>
      </c>
      <c r="E83" s="188">
        <v>1</v>
      </c>
      <c r="F83" s="154">
        <f t="shared" si="36"/>
        <v>2</v>
      </c>
      <c r="G83" s="281">
        <v>48</v>
      </c>
      <c r="H83" s="282">
        <v>12</v>
      </c>
      <c r="I83" s="147"/>
      <c r="J83" s="282"/>
      <c r="K83" s="282"/>
      <c r="L83" s="282"/>
      <c r="M83" s="236">
        <v>36</v>
      </c>
      <c r="N83" s="191"/>
      <c r="O83" s="283"/>
      <c r="P83" s="193"/>
      <c r="Q83" s="194"/>
      <c r="R83" s="194"/>
      <c r="S83" s="194"/>
      <c r="T83" s="147">
        <v>48</v>
      </c>
      <c r="U83" s="147"/>
      <c r="V83" s="147"/>
      <c r="W83" s="259"/>
      <c r="X83" s="151">
        <f t="shared" si="34"/>
        <v>48</v>
      </c>
      <c r="Y83" s="135"/>
      <c r="Z83" s="151">
        <f t="shared" si="35"/>
        <v>48</v>
      </c>
      <c r="AA83" s="134"/>
      <c r="AB83" s="134"/>
      <c r="AC83" s="134"/>
      <c r="AD83" s="134"/>
      <c r="AE83" s="134"/>
      <c r="AF83" s="134"/>
      <c r="AG83" s="134"/>
      <c r="AH83" s="134"/>
      <c r="AI83" s="134"/>
    </row>
    <row r="84" spans="1:35" ht="26.4" x14ac:dyDescent="0.25">
      <c r="A84" s="219" t="s">
        <v>590</v>
      </c>
      <c r="B84" s="205" t="s">
        <v>591</v>
      </c>
      <c r="C84" s="187"/>
      <c r="D84" s="188">
        <v>6</v>
      </c>
      <c r="E84" s="188">
        <v>1</v>
      </c>
      <c r="F84" s="154">
        <f t="shared" si="36"/>
        <v>1.5</v>
      </c>
      <c r="G84" s="281">
        <v>36</v>
      </c>
      <c r="H84" s="190"/>
      <c r="I84" s="147"/>
      <c r="J84" s="190"/>
      <c r="K84" s="190"/>
      <c r="L84" s="190"/>
      <c r="M84" s="236">
        <v>36</v>
      </c>
      <c r="N84" s="191"/>
      <c r="O84" s="201"/>
      <c r="P84" s="193"/>
      <c r="Q84" s="194"/>
      <c r="R84" s="194"/>
      <c r="S84" s="194"/>
      <c r="T84" s="147">
        <v>36</v>
      </c>
      <c r="U84" s="149"/>
      <c r="V84" s="147"/>
      <c r="W84" s="259"/>
      <c r="X84" s="151">
        <f t="shared" ref="X84" si="37">SUM(Q84:W84)</f>
        <v>36</v>
      </c>
      <c r="Y84" s="135"/>
      <c r="Z84" s="151">
        <f t="shared" si="35"/>
        <v>36</v>
      </c>
      <c r="AA84" s="134"/>
      <c r="AB84" s="134"/>
      <c r="AC84" s="134"/>
      <c r="AD84" s="134"/>
      <c r="AE84" s="134"/>
      <c r="AF84" s="134"/>
      <c r="AG84" s="134"/>
      <c r="AH84" s="134"/>
      <c r="AI84" s="134"/>
    </row>
    <row r="85" spans="1:35" x14ac:dyDescent="0.25">
      <c r="A85" s="261" t="s">
        <v>592</v>
      </c>
      <c r="B85" s="284" t="s">
        <v>455</v>
      </c>
      <c r="C85" s="196"/>
      <c r="D85" s="147"/>
      <c r="E85" s="147"/>
      <c r="F85" s="154">
        <f t="shared" si="36"/>
        <v>1.5</v>
      </c>
      <c r="G85" s="197">
        <v>36</v>
      </c>
      <c r="H85" s="198">
        <v>36</v>
      </c>
      <c r="I85" s="199"/>
      <c r="J85" s="199"/>
      <c r="K85" s="199"/>
      <c r="L85" s="199"/>
      <c r="M85" s="199"/>
      <c r="N85" s="200"/>
      <c r="O85" s="285"/>
      <c r="P85" s="208"/>
      <c r="Q85" s="208"/>
      <c r="R85" s="208"/>
      <c r="S85" s="209">
        <v>36</v>
      </c>
      <c r="T85" s="147"/>
      <c r="U85" s="286"/>
      <c r="V85" s="147"/>
      <c r="W85" s="259"/>
      <c r="X85" s="151"/>
      <c r="Y85" s="135"/>
      <c r="Z85" s="151"/>
      <c r="AA85" s="134"/>
      <c r="AB85" s="134"/>
      <c r="AC85" s="134"/>
      <c r="AD85" s="134"/>
      <c r="AE85" s="134"/>
      <c r="AF85" s="134"/>
      <c r="AG85" s="134"/>
      <c r="AH85" s="134"/>
      <c r="AI85" s="134"/>
    </row>
    <row r="86" spans="1:35" s="153" customFormat="1" x14ac:dyDescent="0.3">
      <c r="A86" s="261" t="s">
        <v>593</v>
      </c>
      <c r="B86" s="284" t="s">
        <v>452</v>
      </c>
      <c r="C86" s="196"/>
      <c r="D86" s="147"/>
      <c r="E86" s="147"/>
      <c r="F86" s="154">
        <f t="shared" si="36"/>
        <v>1.5</v>
      </c>
      <c r="G86" s="197">
        <v>36</v>
      </c>
      <c r="H86" s="198">
        <v>36</v>
      </c>
      <c r="I86" s="199"/>
      <c r="J86" s="199"/>
      <c r="K86" s="199"/>
      <c r="L86" s="199"/>
      <c r="M86" s="199"/>
      <c r="N86" s="200"/>
      <c r="O86" s="285"/>
      <c r="P86" s="208"/>
      <c r="Q86" s="208"/>
      <c r="R86" s="208"/>
      <c r="S86" s="209"/>
      <c r="T86" s="154">
        <v>36</v>
      </c>
      <c r="U86" s="198"/>
      <c r="V86" s="147"/>
      <c r="W86" s="259"/>
      <c r="X86" s="151">
        <f t="shared" si="10"/>
        <v>36</v>
      </c>
      <c r="Y86" s="152"/>
      <c r="Z86" s="151">
        <f t="shared" ref="Z86:Z111" si="38">SUM(H86:K86)+M86</f>
        <v>36</v>
      </c>
      <c r="AA86" s="151"/>
      <c r="AB86" s="151"/>
      <c r="AC86" s="151"/>
      <c r="AD86" s="151"/>
      <c r="AE86" s="151"/>
      <c r="AF86" s="151"/>
      <c r="AG86" s="151"/>
      <c r="AH86" s="151"/>
      <c r="AI86" s="151"/>
    </row>
    <row r="87" spans="1:35" s="174" customFormat="1" x14ac:dyDescent="0.25">
      <c r="A87" s="254"/>
      <c r="B87" s="254" t="s">
        <v>594</v>
      </c>
      <c r="C87" s="254">
        <f>SUM(C61+C65+C69+C104)</f>
        <v>2</v>
      </c>
      <c r="D87" s="254">
        <f>SUM(D61+D65+D69+D104)</f>
        <v>10</v>
      </c>
      <c r="E87" s="254">
        <f>SUM(E61+E65+E69+E104)</f>
        <v>9</v>
      </c>
      <c r="F87" s="254">
        <v>60</v>
      </c>
      <c r="G87" s="254">
        <f>SUM(G61+G65+G69+G74+G77+G80+G85+G86+S27+T27)</f>
        <v>1440</v>
      </c>
      <c r="H87" s="254">
        <f>SUM(H61+H65+H69+H74+H77+H80+H85+H86)</f>
        <v>198</v>
      </c>
      <c r="I87" s="254">
        <f>SUM(S60+T60+I61+I65+I69+I74+I77+I80)</f>
        <v>108</v>
      </c>
      <c r="J87" s="254">
        <f>SUM(J61+J65+J69+J74+J104)</f>
        <v>30</v>
      </c>
      <c r="K87" s="254">
        <f>SUM(K61+K65+K69+K74+K104)</f>
        <v>0</v>
      </c>
      <c r="L87" s="254">
        <f>SUM(L61+L65+L69+L74+L77+L80)</f>
        <v>0</v>
      </c>
      <c r="M87" s="254">
        <f>SUM(M61+M65+M69+M74+M77+M80)</f>
        <v>1104</v>
      </c>
      <c r="N87" s="254"/>
      <c r="O87" s="254">
        <f>SUM(O61+O65+O69+O104)</f>
        <v>0</v>
      </c>
      <c r="P87" s="254">
        <f>SUM(P61+P65+P69+P104)</f>
        <v>0</v>
      </c>
      <c r="Q87" s="254">
        <f>SUM(Q61+Q65+Q69+Q104)</f>
        <v>0</v>
      </c>
      <c r="R87" s="254">
        <f>SUM(R61+R65+R69+R104)</f>
        <v>0</v>
      </c>
      <c r="S87" s="254">
        <f>SUM(S60+S61+S65+S69+S74+S77+S80+S85)</f>
        <v>828</v>
      </c>
      <c r="T87" s="254">
        <f>SUM(T60+T61+T65+T69+T74+T77+T80+T86)</f>
        <v>612</v>
      </c>
      <c r="U87" s="287">
        <v>60</v>
      </c>
      <c r="V87" s="287">
        <f>SUM(V60+V61+V65+V69+V104+V86)</f>
        <v>0</v>
      </c>
      <c r="X87" s="151">
        <f>SUM(Q87:W87)-60</f>
        <v>1440</v>
      </c>
      <c r="Y87" s="257"/>
      <c r="Z87" s="151"/>
      <c r="AA87" s="173"/>
      <c r="AB87" s="173"/>
      <c r="AC87" s="173"/>
      <c r="AD87" s="173"/>
      <c r="AE87" s="173"/>
      <c r="AF87" s="173"/>
      <c r="AG87" s="173"/>
      <c r="AH87" s="173"/>
      <c r="AI87" s="173"/>
    </row>
    <row r="88" spans="1:35" s="278" customFormat="1" ht="39" customHeight="1" x14ac:dyDescent="0.3">
      <c r="A88" s="211" t="s">
        <v>583</v>
      </c>
      <c r="B88" s="276" t="s">
        <v>584</v>
      </c>
      <c r="C88" s="277">
        <f>COUNT(C90:C91)</f>
        <v>1</v>
      </c>
      <c r="D88" s="277">
        <f>COUNT(D90:D91)</f>
        <v>2</v>
      </c>
      <c r="E88" s="277">
        <f>COUNT(E90:E91)</f>
        <v>2</v>
      </c>
      <c r="F88" s="215">
        <f t="shared" ref="F88:M88" si="39">SUM(F90:F91)</f>
        <v>4</v>
      </c>
      <c r="G88" s="215">
        <f t="shared" si="39"/>
        <v>96</v>
      </c>
      <c r="H88" s="215">
        <f t="shared" si="39"/>
        <v>24</v>
      </c>
      <c r="I88" s="215">
        <f t="shared" si="39"/>
        <v>0</v>
      </c>
      <c r="J88" s="215">
        <f t="shared" si="39"/>
        <v>0</v>
      </c>
      <c r="K88" s="215">
        <f t="shared" si="39"/>
        <v>0</v>
      </c>
      <c r="L88" s="215">
        <f t="shared" si="39"/>
        <v>0</v>
      </c>
      <c r="M88" s="215">
        <f t="shared" si="39"/>
        <v>72</v>
      </c>
      <c r="N88" s="215"/>
      <c r="O88" s="215">
        <f t="shared" ref="O88:V88" si="40">SUM(O90:O91)</f>
        <v>0</v>
      </c>
      <c r="P88" s="215">
        <f t="shared" si="40"/>
        <v>0</v>
      </c>
      <c r="Q88" s="214">
        <f t="shared" si="40"/>
        <v>0</v>
      </c>
      <c r="R88" s="214">
        <f t="shared" si="40"/>
        <v>0</v>
      </c>
      <c r="S88" s="215">
        <f t="shared" si="40"/>
        <v>0</v>
      </c>
      <c r="T88" s="215">
        <f t="shared" si="40"/>
        <v>0</v>
      </c>
      <c r="U88" s="215">
        <f t="shared" si="40"/>
        <v>96</v>
      </c>
      <c r="V88" s="215">
        <f t="shared" si="40"/>
        <v>0</v>
      </c>
      <c r="W88" s="163"/>
      <c r="X88" s="151">
        <f>SUM(Q88:W88)</f>
        <v>96</v>
      </c>
      <c r="Y88" s="216"/>
      <c r="Z88" s="151">
        <f>SUM(H88:J88)+M88</f>
        <v>96</v>
      </c>
      <c r="AA88" s="216"/>
      <c r="AB88" s="216"/>
      <c r="AC88" s="216"/>
      <c r="AD88" s="216"/>
      <c r="AE88" s="216"/>
      <c r="AF88" s="216"/>
      <c r="AG88" s="216"/>
      <c r="AH88" s="216"/>
      <c r="AI88" s="216"/>
    </row>
    <row r="89" spans="1:35" s="176" customFormat="1" ht="39" customHeight="1" x14ac:dyDescent="0.3">
      <c r="A89" s="175"/>
      <c r="B89" s="698" t="s">
        <v>585</v>
      </c>
      <c r="C89" s="699"/>
      <c r="D89" s="699"/>
      <c r="E89" s="699"/>
      <c r="F89" s="699"/>
      <c r="G89" s="699"/>
      <c r="H89" s="699"/>
      <c r="I89" s="699"/>
      <c r="J89" s="699"/>
      <c r="K89" s="699"/>
      <c r="L89" s="699"/>
      <c r="M89" s="699"/>
      <c r="N89" s="699"/>
      <c r="O89" s="699"/>
      <c r="P89" s="699"/>
      <c r="Q89" s="699"/>
      <c r="R89" s="699"/>
      <c r="S89" s="699"/>
      <c r="T89" s="699"/>
      <c r="U89" s="699"/>
      <c r="V89" s="700"/>
      <c r="W89" s="150"/>
      <c r="X89" s="151">
        <f>SUM(Q89:W89)</f>
        <v>0</v>
      </c>
      <c r="Y89" s="152"/>
      <c r="Z89" s="151">
        <f>SUM(H89:J89)+M89</f>
        <v>0</v>
      </c>
      <c r="AA89" s="152"/>
      <c r="AB89" s="152"/>
      <c r="AC89" s="152"/>
      <c r="AD89" s="152"/>
      <c r="AE89" s="152"/>
      <c r="AF89" s="152"/>
      <c r="AG89" s="152"/>
      <c r="AH89" s="152"/>
      <c r="AI89" s="152"/>
    </row>
    <row r="90" spans="1:35" x14ac:dyDescent="0.25">
      <c r="A90" s="219" t="s">
        <v>595</v>
      </c>
      <c r="B90" s="205" t="s">
        <v>596</v>
      </c>
      <c r="C90" s="187">
        <v>7</v>
      </c>
      <c r="D90" s="188">
        <v>7</v>
      </c>
      <c r="E90" s="188">
        <v>1</v>
      </c>
      <c r="F90" s="154">
        <f>G90/24</f>
        <v>2.5</v>
      </c>
      <c r="G90" s="281">
        <v>60</v>
      </c>
      <c r="H90" s="282">
        <v>24</v>
      </c>
      <c r="I90" s="147"/>
      <c r="J90" s="282"/>
      <c r="K90" s="282"/>
      <c r="L90" s="282"/>
      <c r="M90" s="236">
        <v>36</v>
      </c>
      <c r="N90" s="191"/>
      <c r="O90" s="201"/>
      <c r="P90" s="193"/>
      <c r="Q90" s="194"/>
      <c r="R90" s="194"/>
      <c r="S90" s="194"/>
      <c r="T90" s="147"/>
      <c r="U90" s="149">
        <v>60</v>
      </c>
      <c r="V90" s="147"/>
      <c r="W90" s="259"/>
      <c r="X90" s="151">
        <f>SUM(Q90:W90)</f>
        <v>60</v>
      </c>
      <c r="Y90" s="135"/>
      <c r="Z90" s="151">
        <f>SUM(H90:J90)+M90</f>
        <v>60</v>
      </c>
      <c r="AA90" s="134"/>
      <c r="AB90" s="134"/>
      <c r="AC90" s="134"/>
      <c r="AD90" s="134"/>
      <c r="AE90" s="134"/>
      <c r="AF90" s="134"/>
      <c r="AG90" s="134"/>
      <c r="AH90" s="134"/>
      <c r="AI90" s="134"/>
    </row>
    <row r="91" spans="1:35" ht="26.25" customHeight="1" x14ac:dyDescent="0.25">
      <c r="A91" s="219" t="s">
        <v>597</v>
      </c>
      <c r="B91" s="205" t="s">
        <v>598</v>
      </c>
      <c r="C91" s="187"/>
      <c r="D91" s="188">
        <v>7</v>
      </c>
      <c r="E91" s="188">
        <v>1</v>
      </c>
      <c r="F91" s="154">
        <f>G91/24</f>
        <v>1.5</v>
      </c>
      <c r="G91" s="281">
        <v>36</v>
      </c>
      <c r="H91" s="190"/>
      <c r="I91" s="147"/>
      <c r="J91" s="190"/>
      <c r="K91" s="190"/>
      <c r="L91" s="190"/>
      <c r="M91" s="236">
        <v>36</v>
      </c>
      <c r="N91" s="191"/>
      <c r="O91" s="201"/>
      <c r="P91" s="193"/>
      <c r="Q91" s="194"/>
      <c r="R91" s="194"/>
      <c r="S91" s="194"/>
      <c r="T91" s="147"/>
      <c r="U91" s="149">
        <v>36</v>
      </c>
      <c r="V91" s="147"/>
      <c r="W91" s="259"/>
      <c r="X91" s="151">
        <f>SUM(Q91:W91)</f>
        <v>36</v>
      </c>
      <c r="Y91" s="135"/>
      <c r="Z91" s="151">
        <f>SUM(H91:J91)+M91</f>
        <v>36</v>
      </c>
      <c r="AA91" s="134"/>
      <c r="AB91" s="134"/>
      <c r="AC91" s="134"/>
      <c r="AD91" s="134"/>
      <c r="AE91" s="134"/>
      <c r="AF91" s="134"/>
      <c r="AG91" s="134"/>
      <c r="AH91" s="134"/>
      <c r="AI91" s="134"/>
    </row>
    <row r="92" spans="1:35" s="218" customFormat="1" ht="26.4" x14ac:dyDescent="0.25">
      <c r="A92" s="274" t="s">
        <v>599</v>
      </c>
      <c r="B92" s="229" t="s">
        <v>600</v>
      </c>
      <c r="C92" s="288">
        <f>COUNT(C94:C96)</f>
        <v>0</v>
      </c>
      <c r="D92" s="288">
        <f t="shared" ref="D92:E92" si="41">COUNT(D94:D96)</f>
        <v>3</v>
      </c>
      <c r="E92" s="288">
        <f t="shared" si="41"/>
        <v>0</v>
      </c>
      <c r="F92" s="289">
        <f>SUM(F94:F96)</f>
        <v>15.5</v>
      </c>
      <c r="G92" s="289">
        <f t="shared" ref="G92:V92" si="42">SUM(G94:G96)</f>
        <v>372</v>
      </c>
      <c r="H92" s="289">
        <f t="shared" si="42"/>
        <v>36</v>
      </c>
      <c r="I92" s="289">
        <f t="shared" si="42"/>
        <v>0</v>
      </c>
      <c r="J92" s="289">
        <f t="shared" si="42"/>
        <v>0</v>
      </c>
      <c r="K92" s="289">
        <f t="shared" si="42"/>
        <v>0</v>
      </c>
      <c r="L92" s="289">
        <f t="shared" si="42"/>
        <v>0</v>
      </c>
      <c r="M92" s="289">
        <f t="shared" si="42"/>
        <v>336</v>
      </c>
      <c r="N92" s="289">
        <f t="shared" si="42"/>
        <v>0</v>
      </c>
      <c r="O92" s="289">
        <f t="shared" si="42"/>
        <v>0</v>
      </c>
      <c r="P92" s="289">
        <f t="shared" si="42"/>
        <v>0</v>
      </c>
      <c r="Q92" s="289">
        <f t="shared" si="42"/>
        <v>0</v>
      </c>
      <c r="R92" s="289">
        <f t="shared" si="42"/>
        <v>0</v>
      </c>
      <c r="S92" s="289">
        <f t="shared" si="42"/>
        <v>0</v>
      </c>
      <c r="T92" s="289">
        <f t="shared" si="42"/>
        <v>0</v>
      </c>
      <c r="U92" s="289">
        <f t="shared" si="42"/>
        <v>156</v>
      </c>
      <c r="V92" s="289">
        <f t="shared" si="42"/>
        <v>216</v>
      </c>
      <c r="W92" s="163"/>
      <c r="X92" s="151">
        <f t="shared" si="10"/>
        <v>372</v>
      </c>
      <c r="Y92" s="164"/>
      <c r="Z92" s="151"/>
      <c r="AA92" s="217"/>
      <c r="AB92" s="217"/>
      <c r="AC92" s="217"/>
      <c r="AD92" s="217"/>
      <c r="AE92" s="217"/>
      <c r="AF92" s="217"/>
      <c r="AG92" s="217"/>
      <c r="AH92" s="217"/>
      <c r="AI92" s="217"/>
    </row>
    <row r="93" spans="1:35" s="273" customFormat="1" ht="42.75" customHeight="1" x14ac:dyDescent="0.25">
      <c r="A93" s="275"/>
      <c r="B93" s="707" t="s">
        <v>601</v>
      </c>
      <c r="C93" s="708"/>
      <c r="D93" s="708"/>
      <c r="E93" s="708"/>
      <c r="F93" s="708"/>
      <c r="G93" s="708"/>
      <c r="H93" s="708"/>
      <c r="I93" s="708"/>
      <c r="J93" s="708"/>
      <c r="K93" s="708"/>
      <c r="L93" s="708"/>
      <c r="M93" s="708"/>
      <c r="N93" s="708"/>
      <c r="O93" s="708"/>
      <c r="P93" s="708"/>
      <c r="Q93" s="708"/>
      <c r="R93" s="708"/>
      <c r="S93" s="708"/>
      <c r="T93" s="708"/>
      <c r="U93" s="708"/>
      <c r="V93" s="709"/>
      <c r="W93" s="259"/>
      <c r="X93" s="151">
        <f t="shared" si="10"/>
        <v>0</v>
      </c>
      <c r="Y93" s="290"/>
      <c r="Z93" s="151"/>
      <c r="AA93" s="272"/>
      <c r="AB93" s="272"/>
      <c r="AC93" s="272"/>
      <c r="AD93" s="272"/>
      <c r="AE93" s="272"/>
      <c r="AF93" s="272"/>
      <c r="AG93" s="272"/>
      <c r="AH93" s="272"/>
      <c r="AI93" s="272"/>
    </row>
    <row r="94" spans="1:35" s="153" customFormat="1" ht="26.4" x14ac:dyDescent="0.25">
      <c r="A94" s="291" t="s">
        <v>602</v>
      </c>
      <c r="B94" s="179" t="s">
        <v>603</v>
      </c>
      <c r="C94" s="292"/>
      <c r="D94" s="292">
        <v>7</v>
      </c>
      <c r="E94" s="292"/>
      <c r="F94" s="293">
        <v>4.5</v>
      </c>
      <c r="G94" s="294">
        <v>108</v>
      </c>
      <c r="H94" s="293">
        <v>36</v>
      </c>
      <c r="I94" s="293"/>
      <c r="J94" s="293"/>
      <c r="K94" s="293"/>
      <c r="L94" s="293"/>
      <c r="M94" s="293">
        <v>72</v>
      </c>
      <c r="N94" s="293"/>
      <c r="O94" s="293"/>
      <c r="P94" s="293"/>
      <c r="Q94" s="293"/>
      <c r="R94" s="293"/>
      <c r="S94" s="294"/>
      <c r="T94" s="294"/>
      <c r="U94" s="293">
        <v>108</v>
      </c>
      <c r="V94" s="293"/>
      <c r="W94" s="150"/>
      <c r="X94" s="151">
        <f t="shared" si="10"/>
        <v>108</v>
      </c>
      <c r="Y94" s="135"/>
      <c r="Z94" s="151">
        <f>SUM(H94:J94)+M94</f>
        <v>108</v>
      </c>
      <c r="AA94" s="151"/>
      <c r="AB94" s="151"/>
      <c r="AC94" s="151"/>
      <c r="AD94" s="151"/>
      <c r="AE94" s="151"/>
      <c r="AF94" s="151"/>
      <c r="AG94" s="151"/>
      <c r="AH94" s="151"/>
      <c r="AI94" s="151"/>
    </row>
    <row r="95" spans="1:35" s="153" customFormat="1" x14ac:dyDescent="0.25">
      <c r="A95" s="291" t="s">
        <v>604</v>
      </c>
      <c r="B95" s="295" t="s">
        <v>605</v>
      </c>
      <c r="C95" s="292"/>
      <c r="D95" s="292">
        <v>7</v>
      </c>
      <c r="E95" s="292"/>
      <c r="F95" s="293">
        <v>2</v>
      </c>
      <c r="G95" s="294">
        <v>48</v>
      </c>
      <c r="H95" s="293"/>
      <c r="I95" s="293"/>
      <c r="J95" s="293"/>
      <c r="K95" s="293"/>
      <c r="L95" s="293"/>
      <c r="M95" s="293">
        <v>48</v>
      </c>
      <c r="N95" s="293"/>
      <c r="O95" s="293"/>
      <c r="P95" s="293"/>
      <c r="Q95" s="293"/>
      <c r="R95" s="293"/>
      <c r="S95" s="294"/>
      <c r="T95" s="294"/>
      <c r="U95" s="293">
        <v>48</v>
      </c>
      <c r="V95" s="293"/>
      <c r="W95" s="150"/>
      <c r="X95" s="151">
        <f t="shared" si="10"/>
        <v>48</v>
      </c>
      <c r="Y95" s="135"/>
      <c r="Z95" s="151">
        <f t="shared" ref="Z95:Z103" si="43">SUM(H95:J95)+M95</f>
        <v>48</v>
      </c>
      <c r="AA95" s="151"/>
      <c r="AB95" s="151"/>
      <c r="AC95" s="151"/>
      <c r="AD95" s="151"/>
      <c r="AE95" s="151"/>
      <c r="AF95" s="151"/>
      <c r="AG95" s="151"/>
      <c r="AH95" s="151"/>
      <c r="AI95" s="151"/>
    </row>
    <row r="96" spans="1:35" s="153" customFormat="1" ht="39.6" x14ac:dyDescent="0.25">
      <c r="A96" s="291" t="s">
        <v>606</v>
      </c>
      <c r="B96" s="296" t="s">
        <v>607</v>
      </c>
      <c r="C96" s="292"/>
      <c r="D96" s="292">
        <v>8</v>
      </c>
      <c r="E96" s="292"/>
      <c r="F96" s="293">
        <v>9</v>
      </c>
      <c r="G96" s="294">
        <v>216</v>
      </c>
      <c r="H96" s="293"/>
      <c r="I96" s="293"/>
      <c r="J96" s="293"/>
      <c r="K96" s="293"/>
      <c r="L96" s="293"/>
      <c r="M96" s="293">
        <v>216</v>
      </c>
      <c r="N96" s="293"/>
      <c r="O96" s="293"/>
      <c r="P96" s="293"/>
      <c r="Q96" s="293"/>
      <c r="R96" s="293"/>
      <c r="S96" s="294"/>
      <c r="T96" s="294"/>
      <c r="U96" s="293"/>
      <c r="V96" s="293">
        <v>216</v>
      </c>
      <c r="W96" s="150"/>
      <c r="X96" s="151">
        <f t="shared" si="10"/>
        <v>216</v>
      </c>
      <c r="Y96" s="135"/>
      <c r="Z96" s="151">
        <f t="shared" si="43"/>
        <v>216</v>
      </c>
      <c r="AA96" s="151"/>
      <c r="AB96" s="151"/>
      <c r="AC96" s="151"/>
      <c r="AD96" s="151"/>
      <c r="AE96" s="151"/>
      <c r="AF96" s="151"/>
      <c r="AG96" s="151"/>
      <c r="AH96" s="151"/>
      <c r="AI96" s="151"/>
    </row>
    <row r="97" spans="1:35" s="298" customFormat="1" ht="29.25" customHeight="1" x14ac:dyDescent="0.25">
      <c r="A97" s="211" t="s">
        <v>608</v>
      </c>
      <c r="B97" s="276" t="s">
        <v>609</v>
      </c>
      <c r="C97" s="297">
        <f>COUNT(C99:C102)</f>
        <v>1</v>
      </c>
      <c r="D97" s="297">
        <f t="shared" ref="D97:E97" si="44">COUNT(D99:D102)</f>
        <v>4</v>
      </c>
      <c r="E97" s="297">
        <f t="shared" si="44"/>
        <v>4</v>
      </c>
      <c r="F97" s="215">
        <f>SUM(F99:F103)</f>
        <v>21</v>
      </c>
      <c r="G97" s="215">
        <f>SUM(G99:G103)</f>
        <v>504</v>
      </c>
      <c r="H97" s="215">
        <f t="shared" ref="H97:M97" si="45">SUM(H99:H103)</f>
        <v>60</v>
      </c>
      <c r="I97" s="215">
        <f t="shared" si="45"/>
        <v>0</v>
      </c>
      <c r="J97" s="215">
        <f t="shared" si="45"/>
        <v>0</v>
      </c>
      <c r="K97" s="215">
        <f t="shared" si="45"/>
        <v>0</v>
      </c>
      <c r="L97" s="215">
        <f t="shared" si="45"/>
        <v>0</v>
      </c>
      <c r="M97" s="215">
        <f t="shared" si="45"/>
        <v>444</v>
      </c>
      <c r="N97" s="215"/>
      <c r="O97" s="215">
        <f>SUM(O99:O103)</f>
        <v>0</v>
      </c>
      <c r="P97" s="215">
        <f t="shared" ref="P97:V97" si="46">SUM(P99:P103)</f>
        <v>0</v>
      </c>
      <c r="Q97" s="214">
        <f t="shared" si="46"/>
        <v>0</v>
      </c>
      <c r="R97" s="214">
        <f t="shared" si="46"/>
        <v>0</v>
      </c>
      <c r="S97" s="215">
        <f t="shared" si="46"/>
        <v>0</v>
      </c>
      <c r="T97" s="215">
        <f t="shared" si="46"/>
        <v>0</v>
      </c>
      <c r="U97" s="215">
        <f t="shared" si="46"/>
        <v>360</v>
      </c>
      <c r="V97" s="215">
        <f t="shared" si="46"/>
        <v>144</v>
      </c>
      <c r="W97" s="163"/>
      <c r="X97" s="151"/>
      <c r="Y97" s="164"/>
      <c r="Z97" s="151">
        <f t="shared" si="43"/>
        <v>504</v>
      </c>
      <c r="AA97" s="164"/>
      <c r="AB97" s="164"/>
      <c r="AC97" s="164"/>
      <c r="AD97" s="164"/>
      <c r="AE97" s="164"/>
      <c r="AF97" s="164"/>
      <c r="AG97" s="164"/>
      <c r="AH97" s="164"/>
      <c r="AI97" s="164"/>
    </row>
    <row r="98" spans="1:35" s="124" customFormat="1" ht="42" customHeight="1" x14ac:dyDescent="0.25">
      <c r="A98" s="175"/>
      <c r="B98" s="698" t="s">
        <v>610</v>
      </c>
      <c r="C98" s="699"/>
      <c r="D98" s="699"/>
      <c r="E98" s="699"/>
      <c r="F98" s="699"/>
      <c r="G98" s="699"/>
      <c r="H98" s="699"/>
      <c r="I98" s="699"/>
      <c r="J98" s="699"/>
      <c r="K98" s="699"/>
      <c r="L98" s="699"/>
      <c r="M98" s="699"/>
      <c r="N98" s="699"/>
      <c r="O98" s="699"/>
      <c r="P98" s="699"/>
      <c r="Q98" s="699"/>
      <c r="R98" s="699"/>
      <c r="S98" s="699"/>
      <c r="T98" s="699"/>
      <c r="U98" s="699"/>
      <c r="V98" s="700"/>
      <c r="W98" s="150"/>
      <c r="X98" s="151"/>
      <c r="Y98" s="135"/>
      <c r="Z98" s="151">
        <f t="shared" si="43"/>
        <v>0</v>
      </c>
      <c r="AA98" s="135"/>
      <c r="AB98" s="135"/>
      <c r="AC98" s="135"/>
      <c r="AD98" s="135"/>
      <c r="AE98" s="135"/>
      <c r="AF98" s="135"/>
      <c r="AG98" s="135"/>
      <c r="AH98" s="135"/>
      <c r="AI98" s="135"/>
    </row>
    <row r="99" spans="1:35" x14ac:dyDescent="0.25">
      <c r="A99" s="219" t="s">
        <v>611</v>
      </c>
      <c r="B99" s="205" t="s">
        <v>609</v>
      </c>
      <c r="C99" s="187"/>
      <c r="D99" s="188">
        <v>7</v>
      </c>
      <c r="E99" s="188">
        <v>1</v>
      </c>
      <c r="F99" s="154">
        <f t="shared" ref="F99:F103" si="47">G99/24</f>
        <v>5.5</v>
      </c>
      <c r="G99" s="189">
        <v>132</v>
      </c>
      <c r="H99" s="190">
        <v>24</v>
      </c>
      <c r="I99" s="147"/>
      <c r="J99" s="190"/>
      <c r="K99" s="190"/>
      <c r="L99" s="190"/>
      <c r="M99" s="236">
        <v>108</v>
      </c>
      <c r="N99" s="191"/>
      <c r="O99" s="283"/>
      <c r="P99" s="193"/>
      <c r="Q99" s="194"/>
      <c r="R99" s="194"/>
      <c r="S99" s="194"/>
      <c r="T99" s="147"/>
      <c r="U99" s="147">
        <v>132</v>
      </c>
      <c r="V99" s="149"/>
      <c r="W99" s="259"/>
      <c r="X99" s="151">
        <f t="shared" ref="X99:X113" si="48">SUM(Q99:W99)</f>
        <v>132</v>
      </c>
      <c r="Y99" s="135"/>
      <c r="Z99" s="151">
        <f t="shared" si="43"/>
        <v>132</v>
      </c>
      <c r="AA99" s="134"/>
      <c r="AB99" s="134"/>
      <c r="AC99" s="134"/>
      <c r="AD99" s="134"/>
      <c r="AE99" s="134"/>
      <c r="AF99" s="134"/>
      <c r="AG99" s="134"/>
      <c r="AH99" s="134"/>
      <c r="AI99" s="134"/>
    </row>
    <row r="100" spans="1:35" ht="26.4" x14ac:dyDescent="0.25">
      <c r="A100" s="219" t="s">
        <v>612</v>
      </c>
      <c r="B100" s="205" t="s">
        <v>613</v>
      </c>
      <c r="C100" s="260"/>
      <c r="D100" s="147">
        <v>7</v>
      </c>
      <c r="E100" s="147">
        <v>1</v>
      </c>
      <c r="F100" s="154">
        <f t="shared" si="47"/>
        <v>2</v>
      </c>
      <c r="G100" s="261">
        <v>48</v>
      </c>
      <c r="H100" s="236">
        <v>12</v>
      </c>
      <c r="I100" s="147"/>
      <c r="J100" s="236"/>
      <c r="K100" s="236"/>
      <c r="L100" s="236"/>
      <c r="M100" s="236">
        <v>36</v>
      </c>
      <c r="N100" s="262"/>
      <c r="O100" s="283"/>
      <c r="P100" s="194"/>
      <c r="Q100" s="194"/>
      <c r="R100" s="194"/>
      <c r="S100" s="194"/>
      <c r="T100" s="147"/>
      <c r="U100" s="149">
        <v>48</v>
      </c>
      <c r="V100" s="147"/>
      <c r="W100" s="259"/>
      <c r="X100" s="151">
        <f t="shared" si="48"/>
        <v>48</v>
      </c>
      <c r="Y100" s="135"/>
      <c r="Z100" s="151">
        <f t="shared" si="43"/>
        <v>48</v>
      </c>
      <c r="AA100" s="134"/>
      <c r="AB100" s="134"/>
      <c r="AC100" s="134"/>
      <c r="AD100" s="134"/>
      <c r="AE100" s="134"/>
      <c r="AF100" s="134"/>
      <c r="AG100" s="134"/>
      <c r="AH100" s="134"/>
      <c r="AI100" s="134"/>
    </row>
    <row r="101" spans="1:35" ht="28.5" customHeight="1" x14ac:dyDescent="0.25">
      <c r="A101" s="219" t="s">
        <v>614</v>
      </c>
      <c r="B101" s="205" t="s">
        <v>615</v>
      </c>
      <c r="C101" s="260"/>
      <c r="D101" s="147">
        <v>7</v>
      </c>
      <c r="E101" s="147">
        <v>1</v>
      </c>
      <c r="F101" s="154">
        <f t="shared" si="47"/>
        <v>2</v>
      </c>
      <c r="G101" s="261">
        <v>48</v>
      </c>
      <c r="H101" s="236">
        <v>12</v>
      </c>
      <c r="I101" s="147"/>
      <c r="J101" s="236"/>
      <c r="K101" s="236"/>
      <c r="L101" s="236"/>
      <c r="M101" s="236">
        <v>36</v>
      </c>
      <c r="N101" s="262"/>
      <c r="O101" s="283"/>
      <c r="P101" s="194"/>
      <c r="Q101" s="194"/>
      <c r="R101" s="194"/>
      <c r="S101" s="194"/>
      <c r="T101" s="147"/>
      <c r="U101" s="149">
        <v>48</v>
      </c>
      <c r="V101" s="149"/>
      <c r="W101" s="259"/>
      <c r="X101" s="151">
        <f t="shared" si="48"/>
        <v>48</v>
      </c>
      <c r="Y101" s="135"/>
      <c r="Z101" s="151">
        <f t="shared" si="43"/>
        <v>48</v>
      </c>
      <c r="AA101" s="134"/>
      <c r="AB101" s="134"/>
      <c r="AC101" s="134"/>
      <c r="AD101" s="134"/>
      <c r="AE101" s="134"/>
      <c r="AF101" s="134"/>
      <c r="AG101" s="134"/>
      <c r="AH101" s="134"/>
      <c r="AI101" s="134"/>
    </row>
    <row r="102" spans="1:35" ht="28.5" customHeight="1" x14ac:dyDescent="0.25">
      <c r="A102" s="219" t="s">
        <v>616</v>
      </c>
      <c r="B102" s="205" t="s">
        <v>617</v>
      </c>
      <c r="C102" s="260">
        <v>7</v>
      </c>
      <c r="D102" s="188">
        <v>7</v>
      </c>
      <c r="E102" s="188">
        <v>1</v>
      </c>
      <c r="F102" s="154">
        <f t="shared" si="47"/>
        <v>5.5</v>
      </c>
      <c r="G102" s="189">
        <v>132</v>
      </c>
      <c r="H102" s="190">
        <v>12</v>
      </c>
      <c r="I102" s="147"/>
      <c r="J102" s="190"/>
      <c r="K102" s="190"/>
      <c r="L102" s="190"/>
      <c r="M102" s="236">
        <v>120</v>
      </c>
      <c r="N102" s="262"/>
      <c r="O102" s="283"/>
      <c r="P102" s="194"/>
      <c r="Q102" s="194"/>
      <c r="R102" s="194"/>
      <c r="S102" s="194"/>
      <c r="T102" s="147"/>
      <c r="U102" s="149">
        <v>132</v>
      </c>
      <c r="V102" s="147"/>
      <c r="W102" s="259"/>
      <c r="X102" s="151">
        <f t="shared" si="48"/>
        <v>132</v>
      </c>
      <c r="Y102" s="135"/>
      <c r="Z102" s="151">
        <f t="shared" si="43"/>
        <v>132</v>
      </c>
      <c r="AA102" s="134"/>
      <c r="AB102" s="134"/>
      <c r="AC102" s="134"/>
      <c r="AD102" s="134"/>
      <c r="AE102" s="134"/>
      <c r="AF102" s="134"/>
      <c r="AG102" s="134"/>
      <c r="AH102" s="134"/>
      <c r="AI102" s="134"/>
    </row>
    <row r="103" spans="1:35" ht="28.5" customHeight="1" x14ac:dyDescent="0.25">
      <c r="A103" s="219" t="s">
        <v>618</v>
      </c>
      <c r="B103" s="299" t="s">
        <v>619</v>
      </c>
      <c r="C103" s="300">
        <v>0</v>
      </c>
      <c r="D103" s="300">
        <v>0</v>
      </c>
      <c r="E103" s="300">
        <v>0</v>
      </c>
      <c r="F103" s="156">
        <f t="shared" si="47"/>
        <v>6</v>
      </c>
      <c r="G103" s="301">
        <v>144</v>
      </c>
      <c r="H103" s="300">
        <v>0</v>
      </c>
      <c r="I103" s="300"/>
      <c r="J103" s="300"/>
      <c r="K103" s="300"/>
      <c r="L103" s="300"/>
      <c r="M103" s="300">
        <v>144</v>
      </c>
      <c r="N103" s="302"/>
      <c r="O103" s="300"/>
      <c r="P103" s="300"/>
      <c r="Q103" s="303"/>
      <c r="R103" s="303"/>
      <c r="S103" s="303"/>
      <c r="T103" s="303"/>
      <c r="U103" s="300">
        <v>0</v>
      </c>
      <c r="V103" s="300">
        <v>144</v>
      </c>
      <c r="W103" s="259"/>
      <c r="X103" s="151">
        <f t="shared" si="48"/>
        <v>144</v>
      </c>
      <c r="Y103" s="135"/>
      <c r="Z103" s="151">
        <f t="shared" si="43"/>
        <v>144</v>
      </c>
      <c r="AA103" s="134"/>
      <c r="AB103" s="134"/>
      <c r="AC103" s="134"/>
      <c r="AD103" s="134"/>
      <c r="AE103" s="134"/>
      <c r="AF103" s="134"/>
      <c r="AG103" s="134"/>
      <c r="AH103" s="134"/>
      <c r="AI103" s="134"/>
    </row>
    <row r="104" spans="1:35" s="174" customFormat="1" ht="77.25" customHeight="1" x14ac:dyDescent="0.3">
      <c r="A104" s="168" t="s">
        <v>620</v>
      </c>
      <c r="B104" s="180" t="s">
        <v>621</v>
      </c>
      <c r="C104" s="304">
        <v>0</v>
      </c>
      <c r="D104" s="169">
        <v>4</v>
      </c>
      <c r="E104" s="169">
        <v>2</v>
      </c>
      <c r="F104" s="182">
        <f>SUM(F106:F109)</f>
        <v>5</v>
      </c>
      <c r="G104" s="305">
        <f t="shared" ref="G104:V104" si="49">SUM(G106:G109)</f>
        <v>120</v>
      </c>
      <c r="H104" s="182">
        <f>SUM(H106:H109)</f>
        <v>120</v>
      </c>
      <c r="I104" s="182">
        <f t="shared" si="49"/>
        <v>0</v>
      </c>
      <c r="J104" s="182">
        <f t="shared" si="49"/>
        <v>0</v>
      </c>
      <c r="K104" s="182">
        <f t="shared" si="49"/>
        <v>0</v>
      </c>
      <c r="L104" s="182">
        <f t="shared" si="49"/>
        <v>0</v>
      </c>
      <c r="M104" s="182">
        <f t="shared" si="49"/>
        <v>0</v>
      </c>
      <c r="N104" s="182">
        <f t="shared" si="49"/>
        <v>0</v>
      </c>
      <c r="O104" s="182">
        <f t="shared" si="49"/>
        <v>0</v>
      </c>
      <c r="P104" s="182">
        <f t="shared" si="49"/>
        <v>0</v>
      </c>
      <c r="Q104" s="182">
        <f t="shared" si="49"/>
        <v>0</v>
      </c>
      <c r="R104" s="182">
        <f t="shared" si="49"/>
        <v>0</v>
      </c>
      <c r="S104" s="182">
        <f t="shared" si="49"/>
        <v>0</v>
      </c>
      <c r="T104" s="182">
        <f t="shared" si="49"/>
        <v>0</v>
      </c>
      <c r="U104" s="182">
        <f t="shared" si="49"/>
        <v>120</v>
      </c>
      <c r="V104" s="182">
        <f t="shared" si="49"/>
        <v>0</v>
      </c>
      <c r="W104" s="172"/>
      <c r="X104" s="151">
        <f t="shared" si="48"/>
        <v>120</v>
      </c>
      <c r="Y104" s="173"/>
      <c r="Z104" s="151"/>
      <c r="AA104" s="173"/>
      <c r="AB104" s="173"/>
      <c r="AC104" s="173"/>
      <c r="AD104" s="173"/>
      <c r="AE104" s="173"/>
      <c r="AF104" s="173"/>
      <c r="AG104" s="173"/>
      <c r="AH104" s="173"/>
      <c r="AI104" s="173"/>
    </row>
    <row r="105" spans="1:35" s="176" customFormat="1" ht="45" customHeight="1" x14ac:dyDescent="0.3">
      <c r="A105" s="185"/>
      <c r="B105" s="698" t="s">
        <v>622</v>
      </c>
      <c r="C105" s="699"/>
      <c r="D105" s="699"/>
      <c r="E105" s="699"/>
      <c r="F105" s="699"/>
      <c r="G105" s="699"/>
      <c r="H105" s="699"/>
      <c r="I105" s="699"/>
      <c r="J105" s="699"/>
      <c r="K105" s="699"/>
      <c r="L105" s="699"/>
      <c r="M105" s="699"/>
      <c r="N105" s="699"/>
      <c r="O105" s="699"/>
      <c r="P105" s="699"/>
      <c r="Q105" s="699"/>
      <c r="R105" s="699"/>
      <c r="S105" s="699"/>
      <c r="T105" s="699"/>
      <c r="U105" s="699"/>
      <c r="V105" s="700"/>
      <c r="W105" s="150"/>
      <c r="X105" s="151">
        <f t="shared" si="48"/>
        <v>0</v>
      </c>
      <c r="Y105" s="152"/>
      <c r="Z105" s="151"/>
      <c r="AA105" s="152"/>
      <c r="AB105" s="152"/>
      <c r="AC105" s="152"/>
      <c r="AD105" s="152"/>
      <c r="AE105" s="152"/>
      <c r="AF105" s="152"/>
      <c r="AG105" s="152"/>
      <c r="AH105" s="152"/>
      <c r="AI105" s="152"/>
    </row>
    <row r="106" spans="1:35" s="153" customFormat="1" x14ac:dyDescent="0.3">
      <c r="A106" s="179" t="s">
        <v>623</v>
      </c>
      <c r="B106" s="195" t="s">
        <v>624</v>
      </c>
      <c r="C106" s="196"/>
      <c r="D106" s="147">
        <v>7</v>
      </c>
      <c r="E106" s="147">
        <v>1</v>
      </c>
      <c r="F106" s="154">
        <f>G106/24</f>
        <v>1.5</v>
      </c>
      <c r="G106" s="197">
        <v>36</v>
      </c>
      <c r="H106" s="198">
        <v>36</v>
      </c>
      <c r="I106" s="199"/>
      <c r="J106" s="199"/>
      <c r="K106" s="199"/>
      <c r="L106" s="202"/>
      <c r="M106" s="199"/>
      <c r="N106" s="200"/>
      <c r="O106" s="201"/>
      <c r="P106" s="208"/>
      <c r="Q106" s="208"/>
      <c r="R106" s="208"/>
      <c r="S106" s="208"/>
      <c r="T106" s="154"/>
      <c r="U106" s="198">
        <v>36</v>
      </c>
      <c r="V106" s="147"/>
      <c r="W106" s="259"/>
      <c r="X106" s="151">
        <f t="shared" si="48"/>
        <v>36</v>
      </c>
      <c r="Y106" s="152"/>
      <c r="Z106" s="151">
        <f>SUM(H106:K106)+M106</f>
        <v>36</v>
      </c>
      <c r="AA106" s="151"/>
      <c r="AB106" s="151"/>
      <c r="AC106" s="151"/>
      <c r="AD106" s="151"/>
      <c r="AE106" s="151"/>
      <c r="AF106" s="151"/>
      <c r="AG106" s="151"/>
      <c r="AH106" s="151"/>
      <c r="AI106" s="151"/>
    </row>
    <row r="107" spans="1:35" s="153" customFormat="1" x14ac:dyDescent="0.3">
      <c r="A107" s="179" t="s">
        <v>625</v>
      </c>
      <c r="B107" s="195" t="s">
        <v>626</v>
      </c>
      <c r="C107" s="196"/>
      <c r="D107" s="147">
        <v>7</v>
      </c>
      <c r="E107" s="147">
        <v>1</v>
      </c>
      <c r="F107" s="154">
        <f>G107/24</f>
        <v>1</v>
      </c>
      <c r="G107" s="197">
        <v>24</v>
      </c>
      <c r="H107" s="198">
        <v>24</v>
      </c>
      <c r="I107" s="199"/>
      <c r="J107" s="199"/>
      <c r="K107" s="199"/>
      <c r="L107" s="202"/>
      <c r="M107" s="199"/>
      <c r="N107" s="200"/>
      <c r="O107" s="285"/>
      <c r="P107" s="208"/>
      <c r="Q107" s="208"/>
      <c r="R107" s="208"/>
      <c r="S107" s="208"/>
      <c r="T107" s="154"/>
      <c r="U107" s="198">
        <v>24</v>
      </c>
      <c r="V107" s="147"/>
      <c r="W107" s="259"/>
      <c r="X107" s="151">
        <f t="shared" si="48"/>
        <v>24</v>
      </c>
      <c r="Y107" s="152"/>
      <c r="Z107" s="151">
        <f>SUM(H107:K107)+M107</f>
        <v>24</v>
      </c>
      <c r="AA107" s="151"/>
      <c r="AB107" s="151"/>
      <c r="AC107" s="151"/>
      <c r="AD107" s="151"/>
      <c r="AE107" s="151"/>
      <c r="AF107" s="151"/>
      <c r="AG107" s="151"/>
      <c r="AH107" s="151"/>
      <c r="AI107" s="151"/>
    </row>
    <row r="108" spans="1:35" s="153" customFormat="1" x14ac:dyDescent="0.3">
      <c r="A108" s="179" t="s">
        <v>627</v>
      </c>
      <c r="B108" s="195" t="s">
        <v>628</v>
      </c>
      <c r="C108" s="196"/>
      <c r="D108" s="147">
        <v>7</v>
      </c>
      <c r="E108" s="147"/>
      <c r="F108" s="154">
        <f>G108/24</f>
        <v>1.5</v>
      </c>
      <c r="G108" s="197">
        <v>36</v>
      </c>
      <c r="H108" s="198">
        <v>36</v>
      </c>
      <c r="I108" s="199"/>
      <c r="J108" s="199"/>
      <c r="K108" s="199"/>
      <c r="L108" s="202"/>
      <c r="M108" s="199"/>
      <c r="N108" s="200"/>
      <c r="O108" s="285"/>
      <c r="P108" s="208"/>
      <c r="Q108" s="208"/>
      <c r="R108" s="208"/>
      <c r="S108" s="208"/>
      <c r="T108" s="154"/>
      <c r="U108" s="198">
        <v>36</v>
      </c>
      <c r="V108" s="147"/>
      <c r="W108" s="259"/>
      <c r="X108" s="151">
        <f t="shared" si="48"/>
        <v>36</v>
      </c>
      <c r="Y108" s="152"/>
      <c r="Z108" s="151">
        <f>SUM(H108:K108)+M108</f>
        <v>36</v>
      </c>
      <c r="AA108" s="151"/>
      <c r="AB108" s="151"/>
      <c r="AC108" s="151"/>
      <c r="AD108" s="151"/>
      <c r="AE108" s="151"/>
      <c r="AF108" s="151"/>
      <c r="AG108" s="151"/>
      <c r="AH108" s="151"/>
      <c r="AI108" s="151"/>
    </row>
    <row r="109" spans="1:35" s="153" customFormat="1" x14ac:dyDescent="0.3">
      <c r="A109" s="179" t="s">
        <v>629</v>
      </c>
      <c r="B109" s="179" t="s">
        <v>630</v>
      </c>
      <c r="C109" s="206"/>
      <c r="D109" s="147">
        <v>7</v>
      </c>
      <c r="E109" s="147"/>
      <c r="F109" s="154">
        <f>G109/24</f>
        <v>1</v>
      </c>
      <c r="G109" s="207">
        <v>24</v>
      </c>
      <c r="H109" s="194">
        <v>24</v>
      </c>
      <c r="I109" s="208"/>
      <c r="J109" s="208"/>
      <c r="K109" s="208"/>
      <c r="L109" s="209"/>
      <c r="M109" s="208"/>
      <c r="N109" s="208"/>
      <c r="O109" s="208"/>
      <c r="P109" s="208"/>
      <c r="Q109" s="208"/>
      <c r="R109" s="208"/>
      <c r="S109" s="208"/>
      <c r="T109" s="154"/>
      <c r="U109" s="194">
        <v>24</v>
      </c>
      <c r="V109" s="147"/>
      <c r="W109" s="259"/>
      <c r="X109" s="151">
        <f t="shared" si="48"/>
        <v>24</v>
      </c>
      <c r="Y109" s="152"/>
      <c r="Z109" s="151">
        <f>SUM(H109:K109)+M109</f>
        <v>24</v>
      </c>
      <c r="AA109" s="151"/>
      <c r="AB109" s="151"/>
      <c r="AC109" s="151"/>
      <c r="AD109" s="151"/>
      <c r="AE109" s="151"/>
      <c r="AF109" s="151"/>
      <c r="AG109" s="151"/>
      <c r="AH109" s="151"/>
      <c r="AI109" s="151"/>
    </row>
    <row r="110" spans="1:35" s="176" customFormat="1" x14ac:dyDescent="0.3">
      <c r="A110" s="175" t="s">
        <v>631</v>
      </c>
      <c r="B110" s="306" t="s">
        <v>455</v>
      </c>
      <c r="C110" s="148"/>
      <c r="D110" s="148"/>
      <c r="E110" s="148"/>
      <c r="F110" s="154">
        <v>1.5</v>
      </c>
      <c r="G110" s="261">
        <v>36</v>
      </c>
      <c r="H110" s="148">
        <v>36</v>
      </c>
      <c r="I110" s="148"/>
      <c r="J110" s="148"/>
      <c r="K110" s="148"/>
      <c r="L110" s="148"/>
      <c r="M110" s="148"/>
      <c r="N110" s="261"/>
      <c r="O110" s="148"/>
      <c r="P110" s="148"/>
      <c r="Q110" s="206"/>
      <c r="R110" s="206"/>
      <c r="S110" s="148"/>
      <c r="T110" s="148"/>
      <c r="U110" s="307">
        <v>36</v>
      </c>
      <c r="V110" s="148"/>
      <c r="W110" s="259"/>
      <c r="X110" s="151">
        <f t="shared" si="48"/>
        <v>36</v>
      </c>
      <c r="Y110" s="152"/>
      <c r="Z110" s="151">
        <f t="shared" si="38"/>
        <v>36</v>
      </c>
      <c r="AA110" s="152"/>
      <c r="AB110" s="152"/>
      <c r="AC110" s="152"/>
      <c r="AD110" s="152"/>
      <c r="AE110" s="152"/>
      <c r="AF110" s="152"/>
      <c r="AG110" s="152"/>
      <c r="AH110" s="152"/>
      <c r="AI110" s="152"/>
    </row>
    <row r="111" spans="1:35" s="278" customFormat="1" x14ac:dyDescent="0.3">
      <c r="A111" s="211" t="s">
        <v>632</v>
      </c>
      <c r="B111" s="308" t="s">
        <v>633</v>
      </c>
      <c r="C111" s="297">
        <v>0</v>
      </c>
      <c r="D111" s="309">
        <v>0</v>
      </c>
      <c r="E111" s="297">
        <v>0</v>
      </c>
      <c r="F111" s="310">
        <f>G111/24</f>
        <v>9</v>
      </c>
      <c r="G111" s="230">
        <v>216</v>
      </c>
      <c r="H111" s="297">
        <v>216</v>
      </c>
      <c r="I111" s="297"/>
      <c r="J111" s="297"/>
      <c r="K111" s="297"/>
      <c r="L111" s="297"/>
      <c r="M111" s="297"/>
      <c r="N111" s="230"/>
      <c r="O111" s="297"/>
      <c r="P111" s="297"/>
      <c r="Q111" s="311"/>
      <c r="R111" s="311"/>
      <c r="S111" s="297"/>
      <c r="T111" s="297"/>
      <c r="U111" s="297"/>
      <c r="V111" s="309">
        <v>216</v>
      </c>
      <c r="W111" s="163"/>
      <c r="X111" s="151">
        <f t="shared" si="48"/>
        <v>216</v>
      </c>
      <c r="Y111" s="216"/>
      <c r="Z111" s="151">
        <f t="shared" si="38"/>
        <v>216</v>
      </c>
      <c r="AA111" s="216"/>
      <c r="AB111" s="216"/>
      <c r="AC111" s="216"/>
      <c r="AD111" s="216"/>
      <c r="AE111" s="216"/>
      <c r="AF111" s="216"/>
      <c r="AG111" s="216"/>
      <c r="AH111" s="216"/>
      <c r="AI111" s="216"/>
    </row>
    <row r="112" spans="1:35" s="176" customFormat="1" x14ac:dyDescent="0.3">
      <c r="A112" s="225" t="s">
        <v>634</v>
      </c>
      <c r="B112" s="225" t="s">
        <v>452</v>
      </c>
      <c r="C112" s="147"/>
      <c r="D112" s="147"/>
      <c r="E112" s="147"/>
      <c r="F112" s="154">
        <f>G112/24</f>
        <v>1.5</v>
      </c>
      <c r="G112" s="261">
        <v>36</v>
      </c>
      <c r="H112" s="261">
        <v>36</v>
      </c>
      <c r="I112" s="236"/>
      <c r="J112" s="236"/>
      <c r="K112" s="236"/>
      <c r="L112" s="236"/>
      <c r="M112" s="236"/>
      <c r="N112" s="236"/>
      <c r="O112" s="194"/>
      <c r="P112" s="194"/>
      <c r="Q112" s="194"/>
      <c r="R112" s="194"/>
      <c r="S112" s="194"/>
      <c r="T112" s="147"/>
      <c r="U112" s="149"/>
      <c r="V112" s="312">
        <v>36</v>
      </c>
      <c r="W112" s="259"/>
      <c r="X112" s="151">
        <f t="shared" si="48"/>
        <v>36</v>
      </c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</row>
    <row r="113" spans="1:35" s="174" customFormat="1" x14ac:dyDescent="0.25">
      <c r="A113" s="167"/>
      <c r="B113" s="254" t="s">
        <v>635</v>
      </c>
      <c r="C113" s="169">
        <f>SUM(C88+C97)</f>
        <v>2</v>
      </c>
      <c r="D113" s="169">
        <f>SUM(D88+D97)</f>
        <v>6</v>
      </c>
      <c r="E113" s="169">
        <f>SUM(E88+E97)</f>
        <v>6</v>
      </c>
      <c r="F113" s="169">
        <v>60</v>
      </c>
      <c r="G113" s="169">
        <f>SUM(U87+G88+G92+G97+G104+G110+G111+G112)</f>
        <v>1440</v>
      </c>
      <c r="H113" s="169">
        <f>SUM(H88+H92+H97+H104+H110+H111+H112)</f>
        <v>528</v>
      </c>
      <c r="I113" s="169">
        <f>SUM(I92+I88+I97+I110+I111+I112+60)</f>
        <v>60</v>
      </c>
      <c r="J113" s="169">
        <f>SUM(J92+J88+J97+J110+J111+J112)</f>
        <v>0</v>
      </c>
      <c r="K113" s="169">
        <f>SUM(K92+K88+K97+K110+K111+K112)</f>
        <v>0</v>
      </c>
      <c r="L113" s="169">
        <f>SUM(L92+L88+L97+L104)</f>
        <v>0</v>
      </c>
      <c r="M113" s="169">
        <f>SUM(M88+M92+M97+M104+M111+M112)</f>
        <v>852</v>
      </c>
      <c r="N113" s="169">
        <f>SUM(N92+N88+N97+N110+N111+N112)</f>
        <v>0</v>
      </c>
      <c r="O113" s="169">
        <f t="shared" ref="O113:T113" si="50">SUM(O88+O97)</f>
        <v>0</v>
      </c>
      <c r="P113" s="169">
        <f t="shared" si="50"/>
        <v>0</v>
      </c>
      <c r="Q113" s="169">
        <f t="shared" si="50"/>
        <v>0</v>
      </c>
      <c r="R113" s="169">
        <f t="shared" si="50"/>
        <v>0</v>
      </c>
      <c r="S113" s="169">
        <f t="shared" si="50"/>
        <v>0</v>
      </c>
      <c r="T113" s="169">
        <f t="shared" si="50"/>
        <v>0</v>
      </c>
      <c r="U113" s="313">
        <f>SUM(U87+U92+U88+U97+U104+U110)</f>
        <v>828</v>
      </c>
      <c r="V113" s="313">
        <f>SUM(V87+V92+V88+V97+V111+V112)</f>
        <v>612</v>
      </c>
      <c r="X113" s="151">
        <f t="shared" si="48"/>
        <v>1440</v>
      </c>
      <c r="Y113" s="257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</row>
    <row r="114" spans="1:35" s="320" customFormat="1" ht="27" customHeight="1" x14ac:dyDescent="0.3">
      <c r="A114" s="314"/>
      <c r="B114" s="315" t="s">
        <v>636</v>
      </c>
      <c r="C114" s="316">
        <f t="shared" ref="C114:R114" si="51">SUM(C26+C60+C87+C113)</f>
        <v>14</v>
      </c>
      <c r="D114" s="316">
        <f t="shared" si="51"/>
        <v>45</v>
      </c>
      <c r="E114" s="316">
        <f t="shared" si="51"/>
        <v>34</v>
      </c>
      <c r="F114" s="316">
        <f t="shared" si="51"/>
        <v>240</v>
      </c>
      <c r="G114" s="316">
        <f t="shared" si="51"/>
        <v>5760</v>
      </c>
      <c r="H114" s="316">
        <f t="shared" si="51"/>
        <v>1726</v>
      </c>
      <c r="I114" s="316">
        <f t="shared" si="51"/>
        <v>1112</v>
      </c>
      <c r="J114" s="316">
        <f t="shared" si="51"/>
        <v>30</v>
      </c>
      <c r="K114" s="316">
        <f t="shared" si="51"/>
        <v>0</v>
      </c>
      <c r="L114" s="316">
        <f t="shared" si="51"/>
        <v>0</v>
      </c>
      <c r="M114" s="316">
        <f t="shared" si="51"/>
        <v>2892</v>
      </c>
      <c r="N114" s="316">
        <f t="shared" si="51"/>
        <v>0</v>
      </c>
      <c r="O114" s="316">
        <f t="shared" si="51"/>
        <v>684</v>
      </c>
      <c r="P114" s="316">
        <f t="shared" si="51"/>
        <v>756</v>
      </c>
      <c r="Q114" s="316">
        <f t="shared" si="51"/>
        <v>828</v>
      </c>
      <c r="R114" s="316">
        <f t="shared" si="51"/>
        <v>612</v>
      </c>
      <c r="S114" s="316">
        <v>828</v>
      </c>
      <c r="T114" s="316">
        <v>612</v>
      </c>
      <c r="U114" s="316">
        <v>828</v>
      </c>
      <c r="V114" s="316">
        <v>612</v>
      </c>
      <c r="W114" s="317"/>
      <c r="X114" s="151">
        <f>SUM(O114:W114)</f>
        <v>5760</v>
      </c>
      <c r="Y114" s="318"/>
      <c r="Z114" s="319">
        <f>SUM(H114:N114)</f>
        <v>5760</v>
      </c>
      <c r="AA114" s="319"/>
      <c r="AB114" s="319"/>
      <c r="AC114" s="319"/>
      <c r="AD114" s="319"/>
      <c r="AE114" s="319"/>
      <c r="AF114" s="319"/>
      <c r="AG114" s="319"/>
      <c r="AH114" s="319"/>
      <c r="AI114" s="319"/>
    </row>
    <row r="115" spans="1:35" s="184" customFormat="1" ht="36" customHeight="1" x14ac:dyDescent="0.3">
      <c r="A115" s="321" t="s">
        <v>637</v>
      </c>
      <c r="B115" s="322" t="s">
        <v>638</v>
      </c>
      <c r="C115" s="323"/>
      <c r="D115" s="323"/>
      <c r="E115" s="323"/>
      <c r="F115" s="169">
        <f>G115/24</f>
        <v>16</v>
      </c>
      <c r="G115" s="169">
        <v>384</v>
      </c>
      <c r="H115" s="321"/>
      <c r="I115" s="321">
        <v>384</v>
      </c>
      <c r="J115" s="321"/>
      <c r="K115" s="321"/>
      <c r="L115" s="321"/>
      <c r="M115" s="321"/>
      <c r="N115" s="321"/>
      <c r="O115" s="321">
        <v>48</v>
      </c>
      <c r="P115" s="321">
        <v>48</v>
      </c>
      <c r="Q115" s="321">
        <v>48</v>
      </c>
      <c r="R115" s="321">
        <v>48</v>
      </c>
      <c r="S115" s="321">
        <v>48</v>
      </c>
      <c r="T115" s="321">
        <v>48</v>
      </c>
      <c r="U115" s="321">
        <v>48</v>
      </c>
      <c r="V115" s="321">
        <v>48</v>
      </c>
      <c r="W115" s="172"/>
      <c r="X115" s="151">
        <f>SUM(O115:W115)</f>
        <v>384</v>
      </c>
      <c r="Y115" s="17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</row>
    <row r="116" spans="1:35" s="176" customFormat="1" ht="26.4" x14ac:dyDescent="0.3">
      <c r="A116" s="148" t="s">
        <v>639</v>
      </c>
      <c r="B116" s="185" t="s">
        <v>640</v>
      </c>
      <c r="C116" s="148"/>
      <c r="D116" s="148"/>
      <c r="E116" s="148"/>
      <c r="F116" s="148">
        <f t="shared" ref="F116" si="52">G116/24</f>
        <v>18</v>
      </c>
      <c r="G116" s="148">
        <f>SUM(G118:G129)</f>
        <v>432</v>
      </c>
      <c r="H116" s="148">
        <f>SUM(H118:H129)</f>
        <v>0</v>
      </c>
      <c r="I116" s="148">
        <f>SUM(I118:I129)</f>
        <v>432</v>
      </c>
      <c r="J116" s="148"/>
      <c r="K116" s="148"/>
      <c r="L116" s="148"/>
      <c r="M116" s="148"/>
      <c r="N116" s="148"/>
      <c r="O116" s="148">
        <f t="shared" ref="O116:V116" si="53">SUM(O118:O129)</f>
        <v>72</v>
      </c>
      <c r="P116" s="148">
        <f t="shared" si="53"/>
        <v>72</v>
      </c>
      <c r="Q116" s="206">
        <f t="shared" si="53"/>
        <v>72</v>
      </c>
      <c r="R116" s="206">
        <f t="shared" si="53"/>
        <v>54</v>
      </c>
      <c r="S116" s="148">
        <f t="shared" si="53"/>
        <v>58</v>
      </c>
      <c r="T116" s="148">
        <f t="shared" si="53"/>
        <v>40</v>
      </c>
      <c r="U116" s="148">
        <f t="shared" si="53"/>
        <v>64</v>
      </c>
      <c r="V116" s="148">
        <f t="shared" si="53"/>
        <v>0</v>
      </c>
      <c r="W116" s="150"/>
      <c r="X116" s="151">
        <f t="shared" ref="X116:X131" si="54">SUM(O116:W116)</f>
        <v>432</v>
      </c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</row>
    <row r="117" spans="1:35" s="176" customFormat="1" x14ac:dyDescent="0.3">
      <c r="A117" s="148"/>
      <c r="B117" s="189" t="s">
        <v>641</v>
      </c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310">
        <v>72</v>
      </c>
      <c r="P117" s="310">
        <v>76</v>
      </c>
      <c r="Q117" s="310">
        <v>84</v>
      </c>
      <c r="R117" s="310">
        <v>64</v>
      </c>
      <c r="S117" s="310">
        <v>88</v>
      </c>
      <c r="T117" s="310">
        <v>40</v>
      </c>
      <c r="U117" s="310">
        <v>88</v>
      </c>
      <c r="V117" s="221"/>
      <c r="W117" s="150"/>
      <c r="X117" s="151">
        <f t="shared" si="54"/>
        <v>512</v>
      </c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</row>
    <row r="118" spans="1:35" s="153" customFormat="1" x14ac:dyDescent="0.3">
      <c r="A118" s="206" t="s">
        <v>642</v>
      </c>
      <c r="B118" s="186" t="s">
        <v>643</v>
      </c>
      <c r="C118" s="188"/>
      <c r="D118" s="188"/>
      <c r="E118" s="188"/>
      <c r="F118" s="222">
        <f t="shared" ref="F118:F129" si="55">G118/24</f>
        <v>4</v>
      </c>
      <c r="G118" s="221">
        <v>96</v>
      </c>
      <c r="H118" s="234"/>
      <c r="I118" s="188">
        <v>96</v>
      </c>
      <c r="J118" s="188"/>
      <c r="K118" s="188"/>
      <c r="L118" s="188"/>
      <c r="M118" s="234"/>
      <c r="N118" s="234"/>
      <c r="O118" s="188"/>
      <c r="P118" s="147"/>
      <c r="Q118" s="188">
        <v>24</v>
      </c>
      <c r="R118" s="188">
        <v>18</v>
      </c>
      <c r="S118" s="222">
        <v>26</v>
      </c>
      <c r="T118" s="222"/>
      <c r="U118" s="156">
        <v>28</v>
      </c>
      <c r="V118" s="222"/>
      <c r="W118" s="150"/>
      <c r="X118" s="151">
        <f>SUM(O118:W118)</f>
        <v>96</v>
      </c>
      <c r="Y118" s="152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</row>
    <row r="119" spans="1:35" s="153" customFormat="1" x14ac:dyDescent="0.3">
      <c r="A119" s="206" t="s">
        <v>644</v>
      </c>
      <c r="B119" s="186" t="s">
        <v>645</v>
      </c>
      <c r="C119" s="188"/>
      <c r="D119" s="188"/>
      <c r="E119" s="188"/>
      <c r="F119" s="222">
        <f t="shared" si="55"/>
        <v>1</v>
      </c>
      <c r="G119" s="221">
        <v>24</v>
      </c>
      <c r="H119" s="234"/>
      <c r="I119" s="188">
        <v>24</v>
      </c>
      <c r="J119" s="188"/>
      <c r="K119" s="188"/>
      <c r="L119" s="188"/>
      <c r="M119" s="234"/>
      <c r="N119" s="234"/>
      <c r="O119" s="222"/>
      <c r="P119" s="222"/>
      <c r="Q119" s="222"/>
      <c r="R119" s="222"/>
      <c r="S119" s="222"/>
      <c r="T119" s="222"/>
      <c r="U119" s="156">
        <v>24</v>
      </c>
      <c r="V119" s="222"/>
      <c r="W119" s="150"/>
      <c r="X119" s="151">
        <f t="shared" ref="X119:X129" si="56">SUM(O119:W119)</f>
        <v>24</v>
      </c>
      <c r="Y119" s="152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</row>
    <row r="120" spans="1:35" s="153" customFormat="1" x14ac:dyDescent="0.3">
      <c r="A120" s="206" t="s">
        <v>646</v>
      </c>
      <c r="B120" s="186" t="s">
        <v>647</v>
      </c>
      <c r="C120" s="188"/>
      <c r="D120" s="188"/>
      <c r="E120" s="188"/>
      <c r="F120" s="222">
        <f t="shared" si="55"/>
        <v>0.5</v>
      </c>
      <c r="G120" s="221">
        <v>12</v>
      </c>
      <c r="H120" s="234"/>
      <c r="I120" s="188">
        <v>12</v>
      </c>
      <c r="J120" s="188"/>
      <c r="K120" s="188"/>
      <c r="L120" s="188"/>
      <c r="M120" s="234"/>
      <c r="N120" s="234"/>
      <c r="O120" s="222">
        <v>12</v>
      </c>
      <c r="P120" s="222"/>
      <c r="Q120" s="222"/>
      <c r="R120" s="222"/>
      <c r="S120" s="222"/>
      <c r="T120" s="222"/>
      <c r="U120" s="156"/>
      <c r="V120" s="222"/>
      <c r="W120" s="150"/>
      <c r="X120" s="151">
        <f t="shared" si="56"/>
        <v>12</v>
      </c>
      <c r="Y120" s="152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</row>
    <row r="121" spans="1:35" s="153" customFormat="1" x14ac:dyDescent="0.3">
      <c r="A121" s="206" t="s">
        <v>648</v>
      </c>
      <c r="B121" s="188" t="s">
        <v>649</v>
      </c>
      <c r="C121" s="188"/>
      <c r="D121" s="188"/>
      <c r="E121" s="188"/>
      <c r="F121" s="222">
        <f t="shared" si="55"/>
        <v>3.5</v>
      </c>
      <c r="G121" s="221">
        <v>84</v>
      </c>
      <c r="H121" s="234"/>
      <c r="I121" s="188">
        <v>84</v>
      </c>
      <c r="J121" s="188"/>
      <c r="K121" s="188"/>
      <c r="L121" s="188"/>
      <c r="M121" s="234"/>
      <c r="N121" s="234"/>
      <c r="O121" s="222">
        <v>36</v>
      </c>
      <c r="P121" s="222">
        <v>48</v>
      </c>
      <c r="Q121" s="222"/>
      <c r="R121" s="222"/>
      <c r="S121" s="222"/>
      <c r="T121" s="222"/>
      <c r="U121" s="156"/>
      <c r="V121" s="222"/>
      <c r="W121" s="150"/>
      <c r="X121" s="151">
        <f t="shared" si="56"/>
        <v>84</v>
      </c>
      <c r="Y121" s="152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</row>
    <row r="122" spans="1:35" s="153" customFormat="1" x14ac:dyDescent="0.3">
      <c r="A122" s="206" t="s">
        <v>650</v>
      </c>
      <c r="B122" s="186" t="s">
        <v>651</v>
      </c>
      <c r="C122" s="188"/>
      <c r="D122" s="188"/>
      <c r="E122" s="188"/>
      <c r="F122" s="222">
        <f>G122/24</f>
        <v>2</v>
      </c>
      <c r="G122" s="221">
        <v>48</v>
      </c>
      <c r="H122" s="234"/>
      <c r="I122" s="188">
        <v>48</v>
      </c>
      <c r="J122" s="188"/>
      <c r="K122" s="188"/>
      <c r="L122" s="188"/>
      <c r="M122" s="234"/>
      <c r="N122" s="234"/>
      <c r="O122" s="188">
        <v>24</v>
      </c>
      <c r="P122" s="188">
        <v>24</v>
      </c>
      <c r="Q122" s="188"/>
      <c r="R122" s="222"/>
      <c r="S122" s="222"/>
      <c r="T122" s="222"/>
      <c r="U122" s="156"/>
      <c r="V122" s="222"/>
      <c r="W122" s="150"/>
      <c r="X122" s="151">
        <f t="shared" si="56"/>
        <v>48</v>
      </c>
      <c r="Y122" s="152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</row>
    <row r="123" spans="1:35" s="153" customFormat="1" x14ac:dyDescent="0.3">
      <c r="A123" s="206" t="s">
        <v>652</v>
      </c>
      <c r="B123" s="186" t="s">
        <v>653</v>
      </c>
      <c r="C123" s="188"/>
      <c r="D123" s="188"/>
      <c r="E123" s="188"/>
      <c r="F123" s="222">
        <f>G123/24</f>
        <v>0.5</v>
      </c>
      <c r="G123" s="221">
        <v>12</v>
      </c>
      <c r="H123" s="234"/>
      <c r="I123" s="188">
        <v>12</v>
      </c>
      <c r="J123" s="188"/>
      <c r="K123" s="188"/>
      <c r="L123" s="188"/>
      <c r="M123" s="234"/>
      <c r="N123" s="234"/>
      <c r="O123" s="188"/>
      <c r="P123" s="188"/>
      <c r="Q123" s="188"/>
      <c r="R123" s="222"/>
      <c r="S123" s="222">
        <v>12</v>
      </c>
      <c r="T123" s="222"/>
      <c r="U123" s="156"/>
      <c r="V123" s="222"/>
      <c r="W123" s="150"/>
      <c r="X123" s="151">
        <f t="shared" si="56"/>
        <v>12</v>
      </c>
      <c r="Y123" s="152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</row>
    <row r="124" spans="1:35" s="153" customFormat="1" x14ac:dyDescent="0.3">
      <c r="A124" s="206" t="s">
        <v>654</v>
      </c>
      <c r="B124" s="186" t="s">
        <v>655</v>
      </c>
      <c r="C124" s="188"/>
      <c r="D124" s="188"/>
      <c r="E124" s="188"/>
      <c r="F124" s="222">
        <f>G124/24</f>
        <v>0.5</v>
      </c>
      <c r="G124" s="221">
        <v>12</v>
      </c>
      <c r="H124" s="234"/>
      <c r="I124" s="188">
        <v>12</v>
      </c>
      <c r="J124" s="188"/>
      <c r="K124" s="188"/>
      <c r="L124" s="188"/>
      <c r="M124" s="234"/>
      <c r="N124" s="234"/>
      <c r="O124" s="188"/>
      <c r="P124" s="188"/>
      <c r="Q124" s="188"/>
      <c r="R124" s="222"/>
      <c r="S124" s="222"/>
      <c r="T124" s="222">
        <v>12</v>
      </c>
      <c r="U124" s="156"/>
      <c r="V124" s="222"/>
      <c r="W124" s="150"/>
      <c r="X124" s="151">
        <f t="shared" si="56"/>
        <v>12</v>
      </c>
      <c r="Y124" s="152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</row>
    <row r="125" spans="1:35" s="153" customFormat="1" ht="26.4" x14ac:dyDescent="0.3">
      <c r="A125" s="206" t="s">
        <v>656</v>
      </c>
      <c r="B125" s="186" t="s">
        <v>657</v>
      </c>
      <c r="C125" s="188"/>
      <c r="D125" s="188"/>
      <c r="E125" s="188"/>
      <c r="F125" s="222">
        <f t="shared" si="55"/>
        <v>2</v>
      </c>
      <c r="G125" s="221">
        <v>48</v>
      </c>
      <c r="H125" s="234"/>
      <c r="I125" s="188">
        <v>48</v>
      </c>
      <c r="J125" s="188"/>
      <c r="K125" s="188"/>
      <c r="L125" s="188"/>
      <c r="M125" s="234"/>
      <c r="N125" s="234"/>
      <c r="O125" s="222"/>
      <c r="P125" s="222"/>
      <c r="Q125" s="222"/>
      <c r="R125" s="222"/>
      <c r="S125" s="222">
        <v>20</v>
      </c>
      <c r="T125" s="222">
        <v>28</v>
      </c>
      <c r="U125" s="156"/>
      <c r="V125" s="222"/>
      <c r="W125" s="150"/>
      <c r="X125" s="151">
        <f t="shared" si="56"/>
        <v>48</v>
      </c>
      <c r="Y125" s="152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</row>
    <row r="126" spans="1:35" s="153" customFormat="1" x14ac:dyDescent="0.3">
      <c r="A126" s="206" t="s">
        <v>658</v>
      </c>
      <c r="B126" s="186" t="s">
        <v>659</v>
      </c>
      <c r="C126" s="188"/>
      <c r="D126" s="188"/>
      <c r="E126" s="188"/>
      <c r="F126" s="222">
        <f t="shared" si="55"/>
        <v>1</v>
      </c>
      <c r="G126" s="221">
        <v>24</v>
      </c>
      <c r="H126" s="234"/>
      <c r="I126" s="188">
        <v>24</v>
      </c>
      <c r="J126" s="188"/>
      <c r="K126" s="188"/>
      <c r="L126" s="188"/>
      <c r="M126" s="234"/>
      <c r="N126" s="234"/>
      <c r="O126" s="222"/>
      <c r="P126" s="222"/>
      <c r="Q126" s="222">
        <v>24</v>
      </c>
      <c r="R126" s="222"/>
      <c r="S126" s="222"/>
      <c r="T126" s="222"/>
      <c r="U126" s="156"/>
      <c r="V126" s="222"/>
      <c r="W126" s="150"/>
      <c r="X126" s="151">
        <f t="shared" si="56"/>
        <v>24</v>
      </c>
      <c r="Y126" s="152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</row>
    <row r="127" spans="1:35" s="153" customFormat="1" x14ac:dyDescent="0.3">
      <c r="A127" s="148" t="s">
        <v>660</v>
      </c>
      <c r="B127" s="186" t="s">
        <v>661</v>
      </c>
      <c r="C127" s="188"/>
      <c r="D127" s="188"/>
      <c r="E127" s="188"/>
      <c r="F127" s="222">
        <f t="shared" si="55"/>
        <v>1</v>
      </c>
      <c r="G127" s="221">
        <v>24</v>
      </c>
      <c r="H127" s="234"/>
      <c r="I127" s="188">
        <v>24</v>
      </c>
      <c r="J127" s="188"/>
      <c r="K127" s="188"/>
      <c r="L127" s="188"/>
      <c r="M127" s="234"/>
      <c r="N127" s="234"/>
      <c r="O127" s="222"/>
      <c r="P127" s="222"/>
      <c r="Q127" s="222">
        <v>24</v>
      </c>
      <c r="R127" s="222"/>
      <c r="S127" s="222"/>
      <c r="T127" s="222"/>
      <c r="U127" s="156"/>
      <c r="V127" s="222"/>
      <c r="W127" s="150"/>
      <c r="X127" s="151">
        <f t="shared" si="56"/>
        <v>24</v>
      </c>
      <c r="Y127" s="152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</row>
    <row r="128" spans="1:35" s="153" customFormat="1" x14ac:dyDescent="0.3">
      <c r="A128" s="148" t="s">
        <v>662</v>
      </c>
      <c r="B128" s="186" t="s">
        <v>663</v>
      </c>
      <c r="C128" s="188"/>
      <c r="D128" s="188"/>
      <c r="E128" s="188"/>
      <c r="F128" s="222">
        <f t="shared" si="55"/>
        <v>1.5</v>
      </c>
      <c r="G128" s="221">
        <v>36</v>
      </c>
      <c r="H128" s="234"/>
      <c r="I128" s="188">
        <v>36</v>
      </c>
      <c r="J128" s="188"/>
      <c r="K128" s="188"/>
      <c r="L128" s="188"/>
      <c r="M128" s="234"/>
      <c r="N128" s="234"/>
      <c r="O128" s="222"/>
      <c r="P128" s="222"/>
      <c r="Q128" s="222"/>
      <c r="R128" s="222">
        <v>36</v>
      </c>
      <c r="S128" s="222"/>
      <c r="T128" s="222"/>
      <c r="U128" s="156"/>
      <c r="V128" s="222"/>
      <c r="W128" s="150"/>
      <c r="X128" s="151">
        <f t="shared" si="56"/>
        <v>36</v>
      </c>
      <c r="Y128" s="152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</row>
    <row r="129" spans="1:35" s="153" customFormat="1" ht="26.4" x14ac:dyDescent="0.3">
      <c r="A129" s="148" t="s">
        <v>664</v>
      </c>
      <c r="B129" s="186" t="s">
        <v>665</v>
      </c>
      <c r="C129" s="188"/>
      <c r="D129" s="188"/>
      <c r="E129" s="188"/>
      <c r="F129" s="222">
        <f t="shared" si="55"/>
        <v>0.5</v>
      </c>
      <c r="G129" s="221">
        <v>12</v>
      </c>
      <c r="H129" s="234"/>
      <c r="I129" s="188">
        <v>12</v>
      </c>
      <c r="J129" s="188"/>
      <c r="K129" s="188"/>
      <c r="L129" s="188"/>
      <c r="M129" s="234"/>
      <c r="N129" s="234"/>
      <c r="O129" s="188"/>
      <c r="P129" s="188"/>
      <c r="Q129" s="188"/>
      <c r="R129" s="188"/>
      <c r="S129" s="188"/>
      <c r="T129" s="188"/>
      <c r="U129" s="149">
        <v>12</v>
      </c>
      <c r="V129" s="188"/>
      <c r="W129" s="150"/>
      <c r="X129" s="151">
        <f t="shared" si="56"/>
        <v>12</v>
      </c>
      <c r="Y129" s="152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</row>
    <row r="130" spans="1:35" s="328" customFormat="1" x14ac:dyDescent="0.25">
      <c r="A130" s="324"/>
      <c r="B130" s="325" t="s">
        <v>666</v>
      </c>
      <c r="C130" s="325">
        <f>SUM(C114:C116)</f>
        <v>14</v>
      </c>
      <c r="D130" s="325">
        <f t="shared" ref="D130:V130" si="57">SUM(D114:D116)</f>
        <v>45</v>
      </c>
      <c r="E130" s="325">
        <f t="shared" si="57"/>
        <v>34</v>
      </c>
      <c r="F130" s="325">
        <f t="shared" si="57"/>
        <v>274</v>
      </c>
      <c r="G130" s="325">
        <f t="shared" si="57"/>
        <v>6576</v>
      </c>
      <c r="H130" s="325">
        <f t="shared" si="57"/>
        <v>1726</v>
      </c>
      <c r="I130" s="325">
        <f>SUM(I114:I116)</f>
        <v>1928</v>
      </c>
      <c r="J130" s="325">
        <f t="shared" si="57"/>
        <v>30</v>
      </c>
      <c r="K130" s="325"/>
      <c r="L130" s="325"/>
      <c r="M130" s="325">
        <f t="shared" si="57"/>
        <v>2892</v>
      </c>
      <c r="N130" s="325">
        <f t="shared" si="57"/>
        <v>0</v>
      </c>
      <c r="O130" s="325">
        <f t="shared" si="57"/>
        <v>804</v>
      </c>
      <c r="P130" s="325">
        <f t="shared" si="57"/>
        <v>876</v>
      </c>
      <c r="Q130" s="325">
        <f t="shared" si="57"/>
        <v>948</v>
      </c>
      <c r="R130" s="325">
        <f t="shared" si="57"/>
        <v>714</v>
      </c>
      <c r="S130" s="325">
        <f t="shared" si="57"/>
        <v>934</v>
      </c>
      <c r="T130" s="325">
        <f t="shared" si="57"/>
        <v>700</v>
      </c>
      <c r="U130" s="325">
        <f t="shared" si="57"/>
        <v>940</v>
      </c>
      <c r="V130" s="325">
        <f t="shared" si="57"/>
        <v>660</v>
      </c>
      <c r="W130" s="326"/>
      <c r="X130" s="151">
        <f>SUM(O130:W130)</f>
        <v>6576</v>
      </c>
      <c r="Y130" s="25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</row>
    <row r="131" spans="1:35" x14ac:dyDescent="0.25">
      <c r="X131" s="151">
        <f t="shared" si="54"/>
        <v>0</v>
      </c>
      <c r="Y131" s="135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</row>
    <row r="132" spans="1:35" ht="45.75" customHeight="1" x14ac:dyDescent="0.25">
      <c r="K132" s="123">
        <f>SUM(H130:N130)</f>
        <v>6576</v>
      </c>
      <c r="X132" s="134"/>
      <c r="Y132" s="135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</row>
    <row r="133" spans="1:35" x14ac:dyDescent="0.25">
      <c r="X133" s="134"/>
      <c r="Y133" s="135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</row>
    <row r="134" spans="1:35" x14ac:dyDescent="0.25">
      <c r="X134" s="134"/>
      <c r="Y134" s="135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</row>
    <row r="135" spans="1:35" x14ac:dyDescent="0.25">
      <c r="X135" s="134"/>
      <c r="Y135" s="135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</row>
    <row r="136" spans="1:35" x14ac:dyDescent="0.25">
      <c r="X136" s="134"/>
      <c r="Y136" s="135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</row>
    <row r="137" spans="1:35" x14ac:dyDescent="0.25">
      <c r="X137" s="134"/>
      <c r="Y137" s="135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</row>
    <row r="138" spans="1:35" x14ac:dyDescent="0.25">
      <c r="X138" s="134"/>
      <c r="Y138" s="135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</row>
    <row r="139" spans="1:35" x14ac:dyDescent="0.25">
      <c r="O139" s="123" t="s">
        <v>667</v>
      </c>
      <c r="X139" s="134"/>
      <c r="Y139" s="135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</row>
    <row r="140" spans="1:35" x14ac:dyDescent="0.25">
      <c r="X140" s="134"/>
      <c r="Y140" s="135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</row>
    <row r="141" spans="1:35" x14ac:dyDescent="0.25">
      <c r="X141" s="134"/>
      <c r="Y141" s="135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</row>
    <row r="142" spans="1:35" x14ac:dyDescent="0.25">
      <c r="X142" s="134"/>
      <c r="Y142" s="135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</row>
    <row r="143" spans="1:35" x14ac:dyDescent="0.25">
      <c r="X143" s="134"/>
      <c r="Y143" s="135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</row>
    <row r="144" spans="1:35" x14ac:dyDescent="0.25">
      <c r="X144" s="134"/>
      <c r="Y144" s="135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</row>
    <row r="145" spans="24:35" x14ac:dyDescent="0.25">
      <c r="X145" s="134"/>
      <c r="Y145" s="135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</row>
    <row r="146" spans="24:35" x14ac:dyDescent="0.25">
      <c r="X146" s="134"/>
      <c r="Y146" s="135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</row>
    <row r="147" spans="24:35" x14ac:dyDescent="0.25">
      <c r="X147" s="134"/>
      <c r="Y147" s="135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</row>
    <row r="148" spans="24:35" x14ac:dyDescent="0.25">
      <c r="X148" s="134"/>
      <c r="Y148" s="135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</row>
    <row r="149" spans="24:35" x14ac:dyDescent="0.25">
      <c r="X149" s="134"/>
      <c r="Y149" s="135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</row>
    <row r="150" spans="24:35" x14ac:dyDescent="0.25">
      <c r="X150" s="134"/>
      <c r="Y150" s="135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</row>
    <row r="151" spans="24:35" x14ac:dyDescent="0.25">
      <c r="X151" s="134"/>
      <c r="Y151" s="135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</row>
    <row r="152" spans="24:35" x14ac:dyDescent="0.25">
      <c r="X152" s="134"/>
      <c r="Y152" s="135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</row>
    <row r="153" spans="24:35" x14ac:dyDescent="0.25">
      <c r="X153" s="134"/>
      <c r="Y153" s="135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</row>
    <row r="154" spans="24:35" x14ac:dyDescent="0.25">
      <c r="X154" s="134"/>
      <c r="Y154" s="135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</row>
  </sheetData>
  <autoFilter ref="B5:V129" xr:uid="{00000000-0009-0000-0000-000008000000}"/>
  <mergeCells count="37">
    <mergeCell ref="B54:V54"/>
    <mergeCell ref="B93:V93"/>
    <mergeCell ref="B98:V98"/>
    <mergeCell ref="B105:V105"/>
    <mergeCell ref="B66:V66"/>
    <mergeCell ref="B70:V70"/>
    <mergeCell ref="B75:V75"/>
    <mergeCell ref="B78:V78"/>
    <mergeCell ref="B81:V81"/>
    <mergeCell ref="B89:V89"/>
    <mergeCell ref="B62:V62"/>
    <mergeCell ref="B28:V28"/>
    <mergeCell ref="B51:V51"/>
    <mergeCell ref="F3:F4"/>
    <mergeCell ref="G3:G4"/>
    <mergeCell ref="H3:J3"/>
    <mergeCell ref="M3:N3"/>
    <mergeCell ref="O3:P3"/>
    <mergeCell ref="B34:V34"/>
    <mergeCell ref="B40:V40"/>
    <mergeCell ref="B45:V45"/>
    <mergeCell ref="B31:V31"/>
    <mergeCell ref="A1:V1"/>
    <mergeCell ref="A2:A4"/>
    <mergeCell ref="B2:B4"/>
    <mergeCell ref="C2:E2"/>
    <mergeCell ref="F2:J2"/>
    <mergeCell ref="K2:K4"/>
    <mergeCell ref="L2:L4"/>
    <mergeCell ref="M2:N2"/>
    <mergeCell ref="O2:V2"/>
    <mergeCell ref="C3:C4"/>
    <mergeCell ref="D3:D4"/>
    <mergeCell ref="E3:E4"/>
    <mergeCell ref="Q3:R3"/>
    <mergeCell ref="S3:T3"/>
    <mergeCell ref="U3:V3"/>
  </mergeCells>
  <pageMargins left="0.78740157480314965" right="0" top="0" bottom="0" header="0.51181102362204722" footer="0.51181102362204722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53"/>
  <sheetViews>
    <sheetView tabSelected="1" topLeftCell="A75" zoomScale="85" zoomScaleNormal="85" workbookViewId="0">
      <selection activeCell="A79" sqref="A79"/>
    </sheetView>
  </sheetViews>
  <sheetFormatPr defaultColWidth="9.109375" defaultRowHeight="13.2" outlineLevelRow="4" outlineLevelCol="2" x14ac:dyDescent="0.25"/>
  <cols>
    <col min="1" max="1" width="6.88671875" style="491" customWidth="1"/>
    <col min="2" max="2" width="34.33203125" style="123" customWidth="1"/>
    <col min="3" max="5" width="3.6640625" style="463" customWidth="1"/>
    <col min="6" max="6" width="4.88671875" style="463" customWidth="1"/>
    <col min="7" max="7" width="5.33203125" style="464" customWidth="1" outlineLevel="1"/>
    <col min="8" max="8" width="6" style="463" customWidth="1" outlineLevel="1"/>
    <col min="9" max="9" width="5.6640625" style="463" customWidth="1" outlineLevel="1"/>
    <col min="10" max="10" width="5.33203125" style="463" customWidth="1" outlineLevel="1"/>
    <col min="11" max="11" width="6.88671875" style="463" customWidth="1" outlineLevel="1"/>
    <col min="12" max="12" width="5.33203125" style="463" customWidth="1" outlineLevel="1"/>
    <col min="13" max="13" width="8.33203125" style="463" customWidth="1" outlineLevel="1"/>
    <col min="14" max="14" width="4.6640625" style="463" customWidth="1" outlineLevel="1"/>
    <col min="15" max="19" width="5.109375" style="463" customWidth="1" outlineLevel="2"/>
    <col min="20" max="20" width="5.109375" style="463" customWidth="1" outlineLevel="1"/>
    <col min="21" max="21" width="5.109375" style="465" customWidth="1" outlineLevel="1"/>
    <col min="22" max="22" width="5.109375" style="463" customWidth="1" outlineLevel="1"/>
    <col min="23" max="23" width="9.109375" style="126"/>
    <col min="24" max="24" width="9.109375" style="123"/>
    <col min="25" max="25" width="9.109375" style="124"/>
    <col min="26" max="16384" width="9.109375" style="123"/>
  </cols>
  <sheetData>
    <row r="1" spans="1:35" ht="16.5" customHeight="1" x14ac:dyDescent="0.25">
      <c r="A1" s="676" t="s">
        <v>458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122"/>
    </row>
    <row r="2" spans="1:35" ht="20.25" customHeight="1" x14ac:dyDescent="0.25">
      <c r="A2" s="713" t="s">
        <v>459</v>
      </c>
      <c r="B2" s="680" t="s">
        <v>460</v>
      </c>
      <c r="C2" s="683" t="s">
        <v>461</v>
      </c>
      <c r="D2" s="683"/>
      <c r="E2" s="683"/>
      <c r="F2" s="690" t="s">
        <v>462</v>
      </c>
      <c r="G2" s="690"/>
      <c r="H2" s="690"/>
      <c r="I2" s="690"/>
      <c r="J2" s="691"/>
      <c r="K2" s="686" t="s">
        <v>463</v>
      </c>
      <c r="L2" s="686" t="s">
        <v>464</v>
      </c>
      <c r="M2" s="689" t="s">
        <v>465</v>
      </c>
      <c r="N2" s="691"/>
      <c r="O2" s="689" t="s">
        <v>466</v>
      </c>
      <c r="P2" s="690"/>
      <c r="Q2" s="690"/>
      <c r="R2" s="690"/>
      <c r="S2" s="690"/>
      <c r="T2" s="690"/>
      <c r="U2" s="690"/>
      <c r="V2" s="691"/>
      <c r="W2" s="125"/>
    </row>
    <row r="3" spans="1:35" ht="12.75" customHeight="1" x14ac:dyDescent="0.25">
      <c r="A3" s="714"/>
      <c r="B3" s="681"/>
      <c r="C3" s="692" t="s">
        <v>467</v>
      </c>
      <c r="D3" s="677" t="s">
        <v>468</v>
      </c>
      <c r="E3" s="693" t="s">
        <v>469</v>
      </c>
      <c r="F3" s="693" t="s">
        <v>470</v>
      </c>
      <c r="G3" s="704" t="s">
        <v>471</v>
      </c>
      <c r="H3" s="696" t="s">
        <v>472</v>
      </c>
      <c r="I3" s="706"/>
      <c r="J3" s="697"/>
      <c r="K3" s="686"/>
      <c r="L3" s="686"/>
      <c r="M3" s="696" t="s">
        <v>473</v>
      </c>
      <c r="N3" s="697"/>
      <c r="O3" s="695" t="s">
        <v>474</v>
      </c>
      <c r="P3" s="695"/>
      <c r="Q3" s="695" t="s">
        <v>475</v>
      </c>
      <c r="R3" s="695"/>
      <c r="S3" s="695" t="s">
        <v>476</v>
      </c>
      <c r="T3" s="695"/>
      <c r="U3" s="696" t="s">
        <v>477</v>
      </c>
      <c r="V3" s="697"/>
    </row>
    <row r="4" spans="1:35" ht="102.75" customHeight="1" x14ac:dyDescent="0.25">
      <c r="A4" s="715"/>
      <c r="B4" s="682"/>
      <c r="C4" s="692"/>
      <c r="D4" s="679"/>
      <c r="E4" s="694"/>
      <c r="F4" s="694"/>
      <c r="G4" s="705"/>
      <c r="H4" s="396" t="s">
        <v>456</v>
      </c>
      <c r="I4" s="396" t="s">
        <v>478</v>
      </c>
      <c r="J4" s="397" t="s">
        <v>479</v>
      </c>
      <c r="K4" s="686"/>
      <c r="L4" s="686"/>
      <c r="M4" s="398" t="s">
        <v>480</v>
      </c>
      <c r="N4" s="132" t="s">
        <v>481</v>
      </c>
      <c r="O4" s="131" t="s">
        <v>482</v>
      </c>
      <c r="P4" s="132" t="s">
        <v>483</v>
      </c>
      <c r="Q4" s="132" t="s">
        <v>484</v>
      </c>
      <c r="R4" s="132" t="s">
        <v>485</v>
      </c>
      <c r="S4" s="132" t="s">
        <v>809</v>
      </c>
      <c r="T4" s="132" t="s">
        <v>810</v>
      </c>
      <c r="U4" s="133" t="s">
        <v>811</v>
      </c>
      <c r="V4" s="132" t="s">
        <v>812</v>
      </c>
      <c r="X4" s="134"/>
      <c r="Y4" s="135"/>
      <c r="Z4" s="134"/>
      <c r="AA4" s="134"/>
      <c r="AB4" s="134"/>
      <c r="AC4" s="134"/>
      <c r="AD4" s="134"/>
      <c r="AE4" s="134"/>
      <c r="AF4" s="134"/>
      <c r="AG4" s="134"/>
      <c r="AH4" s="134"/>
      <c r="AI4" s="134"/>
    </row>
    <row r="5" spans="1:35" s="139" customFormat="1" x14ac:dyDescent="0.25">
      <c r="A5" s="471">
        <v>1</v>
      </c>
      <c r="B5" s="348">
        <v>2</v>
      </c>
      <c r="C5" s="136">
        <v>3</v>
      </c>
      <c r="D5" s="394">
        <v>4</v>
      </c>
      <c r="E5" s="136">
        <v>5</v>
      </c>
      <c r="F5" s="394">
        <v>6</v>
      </c>
      <c r="G5" s="136">
        <v>7</v>
      </c>
      <c r="H5" s="394">
        <v>8</v>
      </c>
      <c r="I5" s="136">
        <v>9</v>
      </c>
      <c r="J5" s="394">
        <v>10</v>
      </c>
      <c r="K5" s="136">
        <v>11</v>
      </c>
      <c r="L5" s="394">
        <v>12</v>
      </c>
      <c r="M5" s="136">
        <v>13</v>
      </c>
      <c r="N5" s="394">
        <v>14</v>
      </c>
      <c r="O5" s="136">
        <v>15</v>
      </c>
      <c r="P5" s="394">
        <v>16</v>
      </c>
      <c r="Q5" s="136">
        <v>17</v>
      </c>
      <c r="R5" s="394">
        <v>18</v>
      </c>
      <c r="S5" s="136">
        <v>19</v>
      </c>
      <c r="T5" s="394">
        <v>20</v>
      </c>
      <c r="U5" s="136">
        <v>21</v>
      </c>
      <c r="V5" s="394">
        <v>22</v>
      </c>
      <c r="W5" s="126"/>
      <c r="X5" s="138"/>
      <c r="Y5" s="135"/>
      <c r="Z5" s="138"/>
      <c r="AA5" s="138"/>
      <c r="AB5" s="138"/>
      <c r="AC5" s="138"/>
      <c r="AD5" s="138"/>
      <c r="AE5" s="138"/>
      <c r="AF5" s="138"/>
      <c r="AG5" s="138"/>
      <c r="AH5" s="138"/>
      <c r="AI5" s="138"/>
    </row>
    <row r="6" spans="1:35" s="139" customFormat="1" ht="13.5" hidden="1" customHeight="1" x14ac:dyDescent="0.25">
      <c r="A6" s="471"/>
      <c r="B6" s="348" t="s">
        <v>490</v>
      </c>
      <c r="C6" s="136"/>
      <c r="D6" s="140"/>
      <c r="E6" s="344"/>
      <c r="F6" s="140"/>
      <c r="G6" s="136"/>
      <c r="H6" s="394"/>
      <c r="I6" s="136"/>
      <c r="J6" s="394"/>
      <c r="K6" s="136"/>
      <c r="L6" s="394"/>
      <c r="M6" s="136"/>
      <c r="N6" s="394"/>
      <c r="O6" s="136">
        <v>18</v>
      </c>
      <c r="P6" s="394">
        <v>19</v>
      </c>
      <c r="Q6" s="136">
        <v>21</v>
      </c>
      <c r="R6" s="394">
        <v>16</v>
      </c>
      <c r="S6" s="136">
        <v>16</v>
      </c>
      <c r="T6" s="394">
        <v>16</v>
      </c>
      <c r="U6" s="136">
        <v>16</v>
      </c>
      <c r="V6" s="394">
        <v>6</v>
      </c>
      <c r="W6" s="126"/>
      <c r="X6" s="138"/>
      <c r="Y6" s="135"/>
      <c r="Z6" s="138"/>
      <c r="AA6" s="138"/>
      <c r="AB6" s="138"/>
      <c r="AC6" s="138"/>
      <c r="AD6" s="138"/>
      <c r="AE6" s="138"/>
      <c r="AF6" s="138"/>
      <c r="AG6" s="138"/>
      <c r="AH6" s="138"/>
      <c r="AI6" s="138"/>
    </row>
    <row r="7" spans="1:35" s="139" customFormat="1" ht="12.75" customHeight="1" x14ac:dyDescent="0.25">
      <c r="A7" s="471"/>
      <c r="B7" s="348" t="s">
        <v>490</v>
      </c>
      <c r="C7" s="394"/>
      <c r="D7" s="140"/>
      <c r="E7" s="140"/>
      <c r="F7" s="140"/>
      <c r="G7" s="141"/>
      <c r="H7" s="394"/>
      <c r="I7" s="394"/>
      <c r="J7" s="394"/>
      <c r="K7" s="394"/>
      <c r="L7" s="394"/>
      <c r="M7" s="394"/>
      <c r="N7" s="394"/>
      <c r="O7" s="394">
        <v>18</v>
      </c>
      <c r="P7" s="394">
        <v>20</v>
      </c>
      <c r="Q7" s="394">
        <v>22</v>
      </c>
      <c r="R7" s="394">
        <v>16</v>
      </c>
      <c r="S7" s="394">
        <v>16</v>
      </c>
      <c r="T7" s="394">
        <v>22</v>
      </c>
      <c r="U7" s="142">
        <v>16</v>
      </c>
      <c r="V7" s="394">
        <v>22</v>
      </c>
      <c r="W7" s="126"/>
      <c r="X7" s="138"/>
      <c r="Y7" s="135"/>
      <c r="Z7" s="138"/>
      <c r="AA7" s="138"/>
      <c r="AB7" s="138"/>
      <c r="AC7" s="138"/>
      <c r="AD7" s="138"/>
      <c r="AE7" s="138"/>
      <c r="AF7" s="138"/>
      <c r="AG7" s="138"/>
      <c r="AH7" s="138"/>
      <c r="AI7" s="138"/>
    </row>
    <row r="8" spans="1:35" s="139" customFormat="1" x14ac:dyDescent="0.25">
      <c r="A8" s="471"/>
      <c r="B8" s="143" t="s">
        <v>491</v>
      </c>
      <c r="C8" s="394"/>
      <c r="D8" s="140"/>
      <c r="E8" s="140"/>
      <c r="F8" s="140"/>
      <c r="G8" s="141"/>
      <c r="H8" s="394"/>
      <c r="I8" s="394"/>
      <c r="J8" s="394"/>
      <c r="K8" s="394"/>
      <c r="L8" s="394"/>
      <c r="M8" s="394"/>
      <c r="N8" s="394"/>
      <c r="O8" s="144">
        <f>SUM(O10:O24)/O7</f>
        <v>36</v>
      </c>
      <c r="P8" s="144">
        <f>SUM(P10:P24)/P7</f>
        <v>36</v>
      </c>
      <c r="Q8" s="144">
        <f>(Q58-36)/Q7</f>
        <v>36</v>
      </c>
      <c r="R8" s="144">
        <f>(R58-36)/R7</f>
        <v>36</v>
      </c>
      <c r="S8" s="144">
        <f>(S89-36)/S7</f>
        <v>36</v>
      </c>
      <c r="T8" s="144">
        <f>(T89-36)/T7</f>
        <v>36</v>
      </c>
      <c r="U8" s="144">
        <f>(U112-36)/U7</f>
        <v>36</v>
      </c>
      <c r="V8" s="144">
        <f>(V112-36)/V7</f>
        <v>36</v>
      </c>
      <c r="W8" s="126"/>
      <c r="X8" s="138"/>
      <c r="Y8" s="135"/>
      <c r="Z8" s="138"/>
      <c r="AA8" s="138"/>
      <c r="AB8" s="138"/>
      <c r="AC8" s="138"/>
      <c r="AD8" s="138"/>
      <c r="AE8" s="138"/>
      <c r="AF8" s="138"/>
      <c r="AG8" s="138"/>
      <c r="AH8" s="138"/>
      <c r="AI8" s="138"/>
    </row>
    <row r="9" spans="1:35" s="153" customFormat="1" ht="13.8" outlineLevel="3" x14ac:dyDescent="0.3">
      <c r="A9" s="472" t="s">
        <v>492</v>
      </c>
      <c r="B9" s="146" t="s">
        <v>493</v>
      </c>
      <c r="C9" s="312"/>
      <c r="D9" s="312"/>
      <c r="E9" s="312"/>
      <c r="F9" s="312"/>
      <c r="G9" s="355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99"/>
      <c r="V9" s="312"/>
      <c r="W9" s="150"/>
      <c r="X9" s="151"/>
      <c r="Y9" s="152"/>
      <c r="Z9" s="151"/>
      <c r="AA9" s="151"/>
      <c r="AB9" s="151"/>
      <c r="AC9" s="151"/>
      <c r="AD9" s="151"/>
      <c r="AE9" s="151"/>
      <c r="AF9" s="151"/>
      <c r="AG9" s="151"/>
      <c r="AH9" s="151"/>
      <c r="AI9" s="151"/>
    </row>
    <row r="10" spans="1:35" s="153" customFormat="1" outlineLevel="4" x14ac:dyDescent="0.3">
      <c r="A10" s="473" t="s">
        <v>670</v>
      </c>
      <c r="B10" s="331" t="s">
        <v>131</v>
      </c>
      <c r="C10" s="400">
        <v>2</v>
      </c>
      <c r="D10" s="400">
        <v>1</v>
      </c>
      <c r="E10" s="400">
        <v>1</v>
      </c>
      <c r="F10" s="401">
        <f>G10/24</f>
        <v>5</v>
      </c>
      <c r="G10" s="402">
        <v>120</v>
      </c>
      <c r="H10" s="403">
        <v>48</v>
      </c>
      <c r="I10" s="403">
        <v>72</v>
      </c>
      <c r="J10" s="312"/>
      <c r="K10" s="404"/>
      <c r="L10" s="404"/>
      <c r="M10" s="404"/>
      <c r="N10" s="312"/>
      <c r="O10" s="405">
        <v>48</v>
      </c>
      <c r="P10" s="405">
        <v>72</v>
      </c>
      <c r="Q10" s="312"/>
      <c r="R10" s="312"/>
      <c r="S10" s="312"/>
      <c r="T10" s="312"/>
      <c r="U10" s="399"/>
      <c r="V10" s="312"/>
      <c r="W10" s="150"/>
      <c r="X10" s="151">
        <f>SUM(H10:I10)</f>
        <v>120</v>
      </c>
      <c r="Y10" s="152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</row>
    <row r="11" spans="1:35" s="153" customFormat="1" outlineLevel="4" x14ac:dyDescent="0.3">
      <c r="A11" s="473" t="s">
        <v>671</v>
      </c>
      <c r="B11" s="331" t="s">
        <v>140</v>
      </c>
      <c r="C11" s="400">
        <v>1</v>
      </c>
      <c r="D11" s="400">
        <v>2</v>
      </c>
      <c r="E11" s="400">
        <v>1</v>
      </c>
      <c r="F11" s="401">
        <f t="shared" ref="F11:F23" si="0">G11/24</f>
        <v>2.5</v>
      </c>
      <c r="G11" s="402">
        <v>60</v>
      </c>
      <c r="H11" s="403">
        <v>23</v>
      </c>
      <c r="I11" s="403">
        <v>37</v>
      </c>
      <c r="J11" s="312"/>
      <c r="K11" s="404"/>
      <c r="L11" s="404"/>
      <c r="M11" s="404"/>
      <c r="N11" s="312"/>
      <c r="O11" s="405">
        <v>60</v>
      </c>
      <c r="P11" s="405"/>
      <c r="Q11" s="312"/>
      <c r="R11" s="312"/>
      <c r="S11" s="312"/>
      <c r="T11" s="312"/>
      <c r="U11" s="399"/>
      <c r="V11" s="312"/>
      <c r="W11" s="150"/>
      <c r="X11" s="151">
        <f t="shared" ref="X11:X25" si="1">SUM(H11:I11)</f>
        <v>60</v>
      </c>
      <c r="Y11" s="152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</row>
    <row r="12" spans="1:35" s="153" customFormat="1" outlineLevel="4" x14ac:dyDescent="0.3">
      <c r="A12" s="473" t="s">
        <v>672</v>
      </c>
      <c r="B12" s="331" t="s">
        <v>494</v>
      </c>
      <c r="C12" s="400"/>
      <c r="D12" s="400">
        <v>2</v>
      </c>
      <c r="E12" s="400"/>
      <c r="F12" s="401">
        <f t="shared" si="0"/>
        <v>2.5</v>
      </c>
      <c r="G12" s="402">
        <v>60</v>
      </c>
      <c r="H12" s="403">
        <v>37</v>
      </c>
      <c r="I12" s="403">
        <v>23</v>
      </c>
      <c r="J12" s="312"/>
      <c r="K12" s="401"/>
      <c r="L12" s="404"/>
      <c r="M12" s="401"/>
      <c r="N12" s="312"/>
      <c r="O12" s="405">
        <v>18</v>
      </c>
      <c r="P12" s="405">
        <v>42</v>
      </c>
      <c r="Q12" s="312"/>
      <c r="R12" s="312"/>
      <c r="S12" s="312"/>
      <c r="T12" s="312"/>
      <c r="U12" s="399"/>
      <c r="V12" s="312"/>
      <c r="W12" s="150"/>
      <c r="X12" s="151">
        <f t="shared" si="1"/>
        <v>60</v>
      </c>
      <c r="Y12" s="152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</row>
    <row r="13" spans="1:35" s="153" customFormat="1" outlineLevel="4" x14ac:dyDescent="0.3">
      <c r="A13" s="473" t="s">
        <v>673</v>
      </c>
      <c r="B13" s="339" t="s">
        <v>165</v>
      </c>
      <c r="C13" s="400"/>
      <c r="D13" s="400">
        <v>2</v>
      </c>
      <c r="E13" s="400">
        <v>1</v>
      </c>
      <c r="F13" s="401">
        <f t="shared" si="0"/>
        <v>5</v>
      </c>
      <c r="G13" s="402">
        <v>120</v>
      </c>
      <c r="H13" s="403">
        <v>20</v>
      </c>
      <c r="I13" s="403">
        <v>100</v>
      </c>
      <c r="J13" s="312"/>
      <c r="K13" s="401"/>
      <c r="L13" s="404"/>
      <c r="M13" s="401"/>
      <c r="N13" s="312"/>
      <c r="O13" s="405">
        <v>42</v>
      </c>
      <c r="P13" s="405">
        <v>78</v>
      </c>
      <c r="Q13" s="312"/>
      <c r="R13" s="312"/>
      <c r="S13" s="312"/>
      <c r="T13" s="312"/>
      <c r="U13" s="399"/>
      <c r="V13" s="312"/>
      <c r="W13" s="150"/>
      <c r="X13" s="151">
        <f t="shared" si="1"/>
        <v>120</v>
      </c>
      <c r="Y13" s="152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</row>
    <row r="14" spans="1:35" s="153" customFormat="1" outlineLevel="4" x14ac:dyDescent="0.3">
      <c r="A14" s="473" t="s">
        <v>674</v>
      </c>
      <c r="B14" s="331" t="s">
        <v>175</v>
      </c>
      <c r="C14" s="400">
        <v>1</v>
      </c>
      <c r="D14" s="400">
        <v>2</v>
      </c>
      <c r="E14" s="400"/>
      <c r="F14" s="401">
        <f t="shared" si="0"/>
        <v>4</v>
      </c>
      <c r="G14" s="402">
        <v>96</v>
      </c>
      <c r="H14" s="403">
        <v>96</v>
      </c>
      <c r="I14" s="403"/>
      <c r="J14" s="312"/>
      <c r="K14" s="401"/>
      <c r="L14" s="404"/>
      <c r="M14" s="401"/>
      <c r="N14" s="312"/>
      <c r="O14" s="405">
        <v>72</v>
      </c>
      <c r="P14" s="405">
        <v>24</v>
      </c>
      <c r="Q14" s="312"/>
      <c r="R14" s="312"/>
      <c r="S14" s="312"/>
      <c r="T14" s="312"/>
      <c r="U14" s="399"/>
      <c r="V14" s="312"/>
      <c r="W14" s="150"/>
      <c r="X14" s="151">
        <f t="shared" si="1"/>
        <v>96</v>
      </c>
      <c r="Y14" s="152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</row>
    <row r="15" spans="1:35" s="153" customFormat="1" outlineLevel="4" x14ac:dyDescent="0.3">
      <c r="A15" s="473" t="s">
        <v>675</v>
      </c>
      <c r="B15" s="331" t="s">
        <v>192</v>
      </c>
      <c r="C15" s="400">
        <v>2</v>
      </c>
      <c r="D15" s="400">
        <v>1</v>
      </c>
      <c r="E15" s="400">
        <v>2</v>
      </c>
      <c r="F15" s="401">
        <f>G15/24</f>
        <v>7</v>
      </c>
      <c r="G15" s="402">
        <v>168</v>
      </c>
      <c r="H15" s="403">
        <v>48</v>
      </c>
      <c r="I15" s="403">
        <v>120</v>
      </c>
      <c r="J15" s="312"/>
      <c r="K15" s="401"/>
      <c r="L15" s="404"/>
      <c r="M15" s="401"/>
      <c r="N15" s="312"/>
      <c r="O15" s="405">
        <v>90</v>
      </c>
      <c r="P15" s="405">
        <v>78</v>
      </c>
      <c r="Q15" s="312"/>
      <c r="R15" s="312"/>
      <c r="S15" s="312"/>
      <c r="T15" s="312"/>
      <c r="U15" s="399"/>
      <c r="V15" s="312"/>
      <c r="W15" s="150"/>
      <c r="X15" s="151">
        <f t="shared" si="1"/>
        <v>168</v>
      </c>
      <c r="Y15" s="152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</row>
    <row r="16" spans="1:35" s="153" customFormat="1" outlineLevel="4" x14ac:dyDescent="0.3">
      <c r="A16" s="473" t="s">
        <v>676</v>
      </c>
      <c r="B16" s="331" t="s">
        <v>201</v>
      </c>
      <c r="C16" s="400"/>
      <c r="D16" s="400">
        <v>2</v>
      </c>
      <c r="E16" s="400"/>
      <c r="F16" s="401">
        <f>G16/24</f>
        <v>3</v>
      </c>
      <c r="G16" s="402">
        <v>72</v>
      </c>
      <c r="H16" s="403">
        <v>36</v>
      </c>
      <c r="I16" s="403">
        <v>36</v>
      </c>
      <c r="J16" s="312"/>
      <c r="K16" s="401"/>
      <c r="L16" s="404"/>
      <c r="M16" s="401"/>
      <c r="N16" s="312"/>
      <c r="O16" s="405">
        <v>36</v>
      </c>
      <c r="P16" s="405">
        <v>36</v>
      </c>
      <c r="Q16" s="312"/>
      <c r="R16" s="312"/>
      <c r="S16" s="312"/>
      <c r="T16" s="312"/>
      <c r="U16" s="399"/>
      <c r="V16" s="312"/>
      <c r="W16" s="150"/>
      <c r="X16" s="151">
        <f t="shared" si="1"/>
        <v>72</v>
      </c>
      <c r="Y16" s="152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</row>
    <row r="17" spans="1:35" s="153" customFormat="1" ht="26.4" outlineLevel="4" x14ac:dyDescent="0.3">
      <c r="A17" s="473" t="s">
        <v>677</v>
      </c>
      <c r="B17" s="340" t="s">
        <v>236</v>
      </c>
      <c r="C17" s="400"/>
      <c r="D17" s="400">
        <v>1</v>
      </c>
      <c r="E17" s="400"/>
      <c r="F17" s="401">
        <f>G17/24</f>
        <v>4</v>
      </c>
      <c r="G17" s="402">
        <v>96</v>
      </c>
      <c r="H17" s="403">
        <v>30</v>
      </c>
      <c r="I17" s="403">
        <v>66</v>
      </c>
      <c r="J17" s="312"/>
      <c r="K17" s="401"/>
      <c r="L17" s="404"/>
      <c r="M17" s="401"/>
      <c r="N17" s="312"/>
      <c r="O17" s="405">
        <v>36</v>
      </c>
      <c r="P17" s="405">
        <v>60</v>
      </c>
      <c r="Q17" s="312"/>
      <c r="R17" s="312"/>
      <c r="S17" s="312"/>
      <c r="T17" s="312"/>
      <c r="U17" s="399"/>
      <c r="V17" s="312"/>
      <c r="W17" s="150"/>
      <c r="X17" s="151">
        <f t="shared" si="1"/>
        <v>96</v>
      </c>
      <c r="Y17" s="152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</row>
    <row r="18" spans="1:35" s="153" customFormat="1" outlineLevel="4" x14ac:dyDescent="0.3">
      <c r="A18" s="473" t="s">
        <v>678</v>
      </c>
      <c r="B18" s="340" t="s">
        <v>495</v>
      </c>
      <c r="C18" s="400"/>
      <c r="D18" s="400">
        <v>1.2</v>
      </c>
      <c r="E18" s="400"/>
      <c r="F18" s="401">
        <f>G18/24</f>
        <v>6.5</v>
      </c>
      <c r="G18" s="402">
        <v>156</v>
      </c>
      <c r="H18" s="403">
        <v>8</v>
      </c>
      <c r="I18" s="403">
        <v>148</v>
      </c>
      <c r="J18" s="312"/>
      <c r="K18" s="401"/>
      <c r="L18" s="404"/>
      <c r="M18" s="401"/>
      <c r="N18" s="312"/>
      <c r="O18" s="405">
        <v>72</v>
      </c>
      <c r="P18" s="405">
        <v>84</v>
      </c>
      <c r="Q18" s="312"/>
      <c r="R18" s="312"/>
      <c r="S18" s="312"/>
      <c r="T18" s="312"/>
      <c r="U18" s="399"/>
      <c r="V18" s="312"/>
      <c r="W18" s="150"/>
      <c r="X18" s="151">
        <f t="shared" si="1"/>
        <v>156</v>
      </c>
      <c r="Y18" s="152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</row>
    <row r="19" spans="1:35" s="153" customFormat="1" ht="13.8" outlineLevel="4" x14ac:dyDescent="0.3">
      <c r="A19" s="473"/>
      <c r="B19" s="341" t="s">
        <v>668</v>
      </c>
      <c r="C19" s="400"/>
      <c r="D19" s="400"/>
      <c r="E19" s="400"/>
      <c r="F19" s="401"/>
      <c r="G19" s="402"/>
      <c r="H19" s="403"/>
      <c r="I19" s="403"/>
      <c r="J19" s="312"/>
      <c r="K19" s="401"/>
      <c r="L19" s="404"/>
      <c r="M19" s="401"/>
      <c r="N19" s="312"/>
      <c r="O19" s="405"/>
      <c r="P19" s="405"/>
      <c r="Q19" s="312"/>
      <c r="R19" s="312"/>
      <c r="S19" s="312"/>
      <c r="T19" s="312"/>
      <c r="U19" s="399"/>
      <c r="V19" s="312"/>
      <c r="W19" s="150"/>
      <c r="X19" s="151">
        <f t="shared" si="1"/>
        <v>0</v>
      </c>
      <c r="Y19" s="152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</row>
    <row r="20" spans="1:35" s="153" customFormat="1" outlineLevel="4" x14ac:dyDescent="0.3">
      <c r="A20" s="473" t="s">
        <v>679</v>
      </c>
      <c r="B20" s="331" t="s">
        <v>215</v>
      </c>
      <c r="C20" s="400"/>
      <c r="D20" s="400">
        <v>2</v>
      </c>
      <c r="E20" s="400">
        <v>2</v>
      </c>
      <c r="F20" s="401">
        <f t="shared" si="0"/>
        <v>6</v>
      </c>
      <c r="G20" s="402">
        <v>144</v>
      </c>
      <c r="H20" s="403">
        <v>114</v>
      </c>
      <c r="I20" s="403">
        <v>30</v>
      </c>
      <c r="J20" s="312"/>
      <c r="K20" s="401"/>
      <c r="L20" s="404"/>
      <c r="M20" s="401"/>
      <c r="N20" s="312"/>
      <c r="O20" s="405">
        <v>66</v>
      </c>
      <c r="P20" s="405">
        <v>78</v>
      </c>
      <c r="Q20" s="312"/>
      <c r="R20" s="312"/>
      <c r="S20" s="312"/>
      <c r="T20" s="312"/>
      <c r="U20" s="399"/>
      <c r="V20" s="312"/>
      <c r="W20" s="150"/>
      <c r="X20" s="151">
        <f t="shared" si="1"/>
        <v>144</v>
      </c>
      <c r="Y20" s="152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</row>
    <row r="21" spans="1:35" s="153" customFormat="1" outlineLevel="4" x14ac:dyDescent="0.3">
      <c r="A21" s="473" t="s">
        <v>680</v>
      </c>
      <c r="B21" s="331" t="s">
        <v>221</v>
      </c>
      <c r="C21" s="400">
        <v>2</v>
      </c>
      <c r="D21" s="400">
        <v>1</v>
      </c>
      <c r="E21" s="400">
        <v>1</v>
      </c>
      <c r="F21" s="401">
        <f t="shared" si="0"/>
        <v>6.5</v>
      </c>
      <c r="G21" s="402">
        <v>156</v>
      </c>
      <c r="H21" s="403">
        <v>80</v>
      </c>
      <c r="I21" s="403">
        <v>76</v>
      </c>
      <c r="J21" s="312"/>
      <c r="K21" s="401"/>
      <c r="L21" s="404"/>
      <c r="M21" s="401"/>
      <c r="N21" s="312"/>
      <c r="O21" s="405">
        <v>72</v>
      </c>
      <c r="P21" s="405">
        <v>84</v>
      </c>
      <c r="Q21" s="312"/>
      <c r="R21" s="312"/>
      <c r="S21" s="312"/>
      <c r="T21" s="312"/>
      <c r="U21" s="399"/>
      <c r="V21" s="312"/>
      <c r="W21" s="150"/>
      <c r="X21" s="151">
        <f t="shared" si="1"/>
        <v>156</v>
      </c>
      <c r="Y21" s="152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</row>
    <row r="22" spans="1:35" s="153" customFormat="1" ht="13.8" outlineLevel="4" x14ac:dyDescent="0.3">
      <c r="A22" s="473"/>
      <c r="B22" s="341" t="s">
        <v>669</v>
      </c>
      <c r="C22" s="400"/>
      <c r="D22" s="400"/>
      <c r="E22" s="400"/>
      <c r="F22" s="401"/>
      <c r="G22" s="402"/>
      <c r="H22" s="403"/>
      <c r="I22" s="403"/>
      <c r="J22" s="312"/>
      <c r="K22" s="401"/>
      <c r="L22" s="404"/>
      <c r="M22" s="401"/>
      <c r="N22" s="312"/>
      <c r="O22" s="405"/>
      <c r="P22" s="405"/>
      <c r="Q22" s="312"/>
      <c r="R22" s="312"/>
      <c r="S22" s="312"/>
      <c r="T22" s="312"/>
      <c r="U22" s="399"/>
      <c r="V22" s="312"/>
      <c r="W22" s="150"/>
      <c r="X22" s="151">
        <f t="shared" si="1"/>
        <v>0</v>
      </c>
      <c r="Y22" s="152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</row>
    <row r="23" spans="1:35" s="153" customFormat="1" outlineLevel="4" x14ac:dyDescent="0.3">
      <c r="A23" s="473" t="s">
        <v>681</v>
      </c>
      <c r="B23" s="331" t="s">
        <v>229</v>
      </c>
      <c r="C23" s="400"/>
      <c r="D23" s="400">
        <v>2</v>
      </c>
      <c r="E23" s="400"/>
      <c r="F23" s="401">
        <f t="shared" si="0"/>
        <v>2.5</v>
      </c>
      <c r="G23" s="402">
        <v>60</v>
      </c>
      <c r="H23" s="403">
        <v>36</v>
      </c>
      <c r="I23" s="403">
        <v>24</v>
      </c>
      <c r="J23" s="312"/>
      <c r="K23" s="401"/>
      <c r="L23" s="404"/>
      <c r="M23" s="401"/>
      <c r="N23" s="312"/>
      <c r="O23" s="405">
        <v>18</v>
      </c>
      <c r="P23" s="405">
        <v>42</v>
      </c>
      <c r="Q23" s="312"/>
      <c r="R23" s="312"/>
      <c r="S23" s="312"/>
      <c r="T23" s="312"/>
      <c r="U23" s="399"/>
      <c r="V23" s="312"/>
      <c r="W23" s="150"/>
      <c r="X23" s="151">
        <f t="shared" si="1"/>
        <v>60</v>
      </c>
      <c r="Y23" s="152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</row>
    <row r="24" spans="1:35" s="153" customFormat="1" outlineLevel="4" x14ac:dyDescent="0.3">
      <c r="A24" s="473" t="s">
        <v>682</v>
      </c>
      <c r="B24" s="331" t="s">
        <v>186</v>
      </c>
      <c r="C24" s="400"/>
      <c r="D24" s="400">
        <v>2</v>
      </c>
      <c r="E24" s="400"/>
      <c r="F24" s="401">
        <f>G24/24</f>
        <v>2.5</v>
      </c>
      <c r="G24" s="402">
        <v>60</v>
      </c>
      <c r="H24" s="403">
        <v>50</v>
      </c>
      <c r="I24" s="403">
        <v>10</v>
      </c>
      <c r="J24" s="312"/>
      <c r="K24" s="401"/>
      <c r="L24" s="404"/>
      <c r="M24" s="401"/>
      <c r="N24" s="312"/>
      <c r="O24" s="405">
        <v>18</v>
      </c>
      <c r="P24" s="405">
        <v>42</v>
      </c>
      <c r="Q24" s="312"/>
      <c r="R24" s="312"/>
      <c r="S24" s="312"/>
      <c r="T24" s="312"/>
      <c r="U24" s="399"/>
      <c r="V24" s="312"/>
      <c r="W24" s="150"/>
      <c r="X24" s="151">
        <f t="shared" si="1"/>
        <v>60</v>
      </c>
      <c r="Y24" s="152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</row>
    <row r="25" spans="1:35" s="153" customFormat="1" outlineLevel="4" x14ac:dyDescent="0.3">
      <c r="A25" s="474" t="s">
        <v>496</v>
      </c>
      <c r="B25" s="158" t="s">
        <v>455</v>
      </c>
      <c r="C25" s="307"/>
      <c r="D25" s="307"/>
      <c r="E25" s="307"/>
      <c r="F25" s="307">
        <f t="shared" ref="F25" si="2">G25/24</f>
        <v>3</v>
      </c>
      <c r="G25" s="355">
        <v>72</v>
      </c>
      <c r="H25" s="307">
        <v>72</v>
      </c>
      <c r="I25" s="307"/>
      <c r="J25" s="307"/>
      <c r="K25" s="307"/>
      <c r="L25" s="307"/>
      <c r="M25" s="307"/>
      <c r="N25" s="307"/>
      <c r="O25" s="406">
        <v>36</v>
      </c>
      <c r="P25" s="406">
        <v>36</v>
      </c>
      <c r="Q25" s="312"/>
      <c r="R25" s="312"/>
      <c r="S25" s="312"/>
      <c r="T25" s="312"/>
      <c r="U25" s="399"/>
      <c r="V25" s="312"/>
      <c r="W25" s="150"/>
      <c r="X25" s="151">
        <f t="shared" si="1"/>
        <v>72</v>
      </c>
      <c r="Y25" s="152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</row>
    <row r="26" spans="1:35" s="166" customFormat="1" ht="14.25" customHeight="1" outlineLevel="3" x14ac:dyDescent="0.25">
      <c r="A26" s="475" t="s">
        <v>497</v>
      </c>
      <c r="B26" s="160" t="s">
        <v>498</v>
      </c>
      <c r="C26" s="160">
        <f>COUNT(C10:C25)</f>
        <v>5</v>
      </c>
      <c r="D26" s="160">
        <f>COUNT(D10:D25)</f>
        <v>13</v>
      </c>
      <c r="E26" s="160">
        <f>COUNT(E10:E25)</f>
        <v>6</v>
      </c>
      <c r="F26" s="160">
        <f>SUM(F10:F25)</f>
        <v>60</v>
      </c>
      <c r="G26" s="407">
        <f>SUM(G10:G25)</f>
        <v>1440</v>
      </c>
      <c r="H26" s="160">
        <f>SUM(H10:H25)</f>
        <v>698</v>
      </c>
      <c r="I26" s="160">
        <f>SUM(I10:I24)</f>
        <v>742</v>
      </c>
      <c r="J26" s="160"/>
      <c r="K26" s="160">
        <f>SUM(K10:K25)</f>
        <v>0</v>
      </c>
      <c r="L26" s="160">
        <f>SUM(L10:L25)</f>
        <v>0</v>
      </c>
      <c r="M26" s="160"/>
      <c r="N26" s="160"/>
      <c r="O26" s="160">
        <f>SUM(O10:O25)</f>
        <v>684</v>
      </c>
      <c r="P26" s="160">
        <f>SUM(P10:P25)</f>
        <v>756</v>
      </c>
      <c r="Q26" s="160"/>
      <c r="R26" s="160"/>
      <c r="S26" s="160"/>
      <c r="T26" s="160"/>
      <c r="U26" s="160"/>
      <c r="V26" s="160"/>
      <c r="W26" s="163"/>
      <c r="X26" s="151">
        <f>SUM(H26:J26)</f>
        <v>1440</v>
      </c>
      <c r="Y26" s="164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</row>
    <row r="27" spans="1:35" s="174" customFormat="1" ht="36" customHeight="1" outlineLevel="1" x14ac:dyDescent="0.3">
      <c r="A27" s="476" t="s">
        <v>499</v>
      </c>
      <c r="B27" s="168" t="s">
        <v>500</v>
      </c>
      <c r="C27" s="313">
        <f>COUNT(C28:C29)</f>
        <v>1</v>
      </c>
      <c r="D27" s="313">
        <f>COUNT(D28:D29)</f>
        <v>1</v>
      </c>
      <c r="E27" s="313">
        <f>COUNT(E28:E29)</f>
        <v>0</v>
      </c>
      <c r="F27" s="313">
        <v>12</v>
      </c>
      <c r="G27" s="313">
        <f>SUM(G28:G29)</f>
        <v>276</v>
      </c>
      <c r="H27" s="313">
        <f>SUM(H28:H29)</f>
        <v>0</v>
      </c>
      <c r="I27" s="313">
        <f>SUM(I28:I29)</f>
        <v>276</v>
      </c>
      <c r="J27" s="313">
        <f t="shared" ref="J27" si="3">SUM(J29)</f>
        <v>0</v>
      </c>
      <c r="K27" s="313"/>
      <c r="L27" s="313"/>
      <c r="M27" s="313">
        <f t="shared" ref="M27" si="4">SUM(M29)</f>
        <v>0</v>
      </c>
      <c r="N27" s="313"/>
      <c r="O27" s="313">
        <f>SUM(O28:O29)</f>
        <v>0</v>
      </c>
      <c r="P27" s="313">
        <f>SUM(P28:P29)</f>
        <v>0</v>
      </c>
      <c r="Q27" s="313">
        <f t="shared" ref="Q27:V27" si="5">SUM(Q28:Q29)</f>
        <v>60</v>
      </c>
      <c r="R27" s="313">
        <f t="shared" si="5"/>
        <v>48</v>
      </c>
      <c r="S27" s="313">
        <f t="shared" si="5"/>
        <v>42</v>
      </c>
      <c r="T27" s="313">
        <f t="shared" si="5"/>
        <v>66</v>
      </c>
      <c r="U27" s="313">
        <f t="shared" si="5"/>
        <v>36</v>
      </c>
      <c r="V27" s="313">
        <f t="shared" si="5"/>
        <v>24</v>
      </c>
      <c r="W27" s="172"/>
      <c r="X27" s="173">
        <f>SUM(O27:W27)</f>
        <v>276</v>
      </c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</row>
    <row r="28" spans="1:35" s="176" customFormat="1" ht="36.75" customHeight="1" outlineLevel="1" x14ac:dyDescent="0.3">
      <c r="A28" s="477" t="s">
        <v>685</v>
      </c>
      <c r="B28" s="178" t="s">
        <v>686</v>
      </c>
      <c r="C28" s="353"/>
      <c r="D28" s="353"/>
      <c r="E28" s="353"/>
      <c r="F28" s="353">
        <v>6</v>
      </c>
      <c r="G28" s="353">
        <v>138</v>
      </c>
      <c r="H28" s="353"/>
      <c r="I28" s="224">
        <v>138</v>
      </c>
      <c r="J28" s="353"/>
      <c r="K28" s="353"/>
      <c r="L28" s="353"/>
      <c r="M28" s="353"/>
      <c r="N28" s="353"/>
      <c r="O28" s="353"/>
      <c r="P28" s="353"/>
      <c r="Q28" s="224">
        <v>60</v>
      </c>
      <c r="R28" s="224"/>
      <c r="S28" s="224">
        <v>42</v>
      </c>
      <c r="T28" s="224"/>
      <c r="U28" s="224">
        <v>36</v>
      </c>
      <c r="V28" s="353"/>
      <c r="W28" s="150"/>
      <c r="X28" s="151">
        <f>SUM(Q28:W28)</f>
        <v>138</v>
      </c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</row>
    <row r="29" spans="1:35" s="153" customFormat="1" ht="51.75" customHeight="1" outlineLevel="1" x14ac:dyDescent="0.3">
      <c r="A29" s="477" t="s">
        <v>688</v>
      </c>
      <c r="B29" s="178" t="s">
        <v>687</v>
      </c>
      <c r="C29" s="312">
        <v>7</v>
      </c>
      <c r="D29" s="312">
        <v>5</v>
      </c>
      <c r="E29" s="312"/>
      <c r="F29" s="312">
        <v>6</v>
      </c>
      <c r="G29" s="355">
        <v>138</v>
      </c>
      <c r="H29" s="312"/>
      <c r="I29" s="312">
        <v>138</v>
      </c>
      <c r="J29" s="312"/>
      <c r="K29" s="312"/>
      <c r="L29" s="312"/>
      <c r="M29" s="355"/>
      <c r="N29" s="312"/>
      <c r="O29" s="312"/>
      <c r="P29" s="312"/>
      <c r="Q29" s="307"/>
      <c r="R29" s="307">
        <v>48</v>
      </c>
      <c r="S29" s="307"/>
      <c r="T29" s="307">
        <v>66</v>
      </c>
      <c r="U29" s="354"/>
      <c r="V29" s="312">
        <v>24</v>
      </c>
      <c r="W29" s="150"/>
      <c r="X29" s="151">
        <f>SUM(Q29:W29)</f>
        <v>138</v>
      </c>
      <c r="Y29" s="152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</row>
    <row r="30" spans="1:35" s="174" customFormat="1" ht="58.5" customHeight="1" outlineLevel="1" x14ac:dyDescent="0.3">
      <c r="A30" s="476" t="s">
        <v>504</v>
      </c>
      <c r="B30" s="168" t="s">
        <v>505</v>
      </c>
      <c r="C30" s="313">
        <f>COUNT(C31:C32)</f>
        <v>0</v>
      </c>
      <c r="D30" s="313">
        <f>COUNT(D31:D32)</f>
        <v>1</v>
      </c>
      <c r="E30" s="313">
        <f>COUNT(E31:E32)</f>
        <v>1</v>
      </c>
      <c r="F30" s="313">
        <f>SUM(F31:F32)</f>
        <v>1</v>
      </c>
      <c r="G30" s="313">
        <f>SUM(G31:G32)</f>
        <v>24</v>
      </c>
      <c r="H30" s="313">
        <f>SUM(H31:H32)</f>
        <v>10</v>
      </c>
      <c r="I30" s="313">
        <f>SUM(I31:I32)</f>
        <v>14</v>
      </c>
      <c r="J30" s="313">
        <f>SUM(J31:J32)</f>
        <v>0</v>
      </c>
      <c r="K30" s="313"/>
      <c r="L30" s="313"/>
      <c r="M30" s="313">
        <f>SUM(M31:M32)</f>
        <v>0</v>
      </c>
      <c r="N30" s="313"/>
      <c r="O30" s="313">
        <f t="shared" ref="O30:V30" si="6">SUM(O31:O32)</f>
        <v>0</v>
      </c>
      <c r="P30" s="313">
        <f t="shared" si="6"/>
        <v>0</v>
      </c>
      <c r="Q30" s="408">
        <f t="shared" si="6"/>
        <v>24</v>
      </c>
      <c r="R30" s="408">
        <f t="shared" si="6"/>
        <v>0</v>
      </c>
      <c r="S30" s="313">
        <f t="shared" si="6"/>
        <v>0</v>
      </c>
      <c r="T30" s="313">
        <f t="shared" si="6"/>
        <v>0</v>
      </c>
      <c r="U30" s="313">
        <f t="shared" si="6"/>
        <v>0</v>
      </c>
      <c r="V30" s="313">
        <f t="shared" si="6"/>
        <v>0</v>
      </c>
      <c r="W30" s="172"/>
      <c r="X30" s="151">
        <f t="shared" ref="X30:X97" si="7">SUM(Q30:W30)</f>
        <v>24</v>
      </c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</row>
    <row r="31" spans="1:35" s="176" customFormat="1" ht="53.25" customHeight="1" outlineLevel="1" x14ac:dyDescent="0.3">
      <c r="A31" s="477" t="s">
        <v>689</v>
      </c>
      <c r="B31" s="178" t="s">
        <v>691</v>
      </c>
      <c r="C31" s="353"/>
      <c r="D31" s="353"/>
      <c r="E31" s="353"/>
      <c r="F31" s="224">
        <v>0.5</v>
      </c>
      <c r="G31" s="353">
        <v>12</v>
      </c>
      <c r="H31" s="224">
        <v>5</v>
      </c>
      <c r="I31" s="224">
        <v>7</v>
      </c>
      <c r="J31" s="353"/>
      <c r="K31" s="353"/>
      <c r="L31" s="353"/>
      <c r="M31" s="353"/>
      <c r="N31" s="353"/>
      <c r="O31" s="353"/>
      <c r="P31" s="353"/>
      <c r="Q31" s="224">
        <v>12</v>
      </c>
      <c r="R31" s="353"/>
      <c r="S31" s="353"/>
      <c r="T31" s="353"/>
      <c r="U31" s="353"/>
      <c r="V31" s="353"/>
      <c r="W31" s="150"/>
      <c r="X31" s="151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</row>
    <row r="32" spans="1:35" s="153" customFormat="1" ht="45.75" customHeight="1" outlineLevel="1" x14ac:dyDescent="0.3">
      <c r="A32" s="477" t="s">
        <v>690</v>
      </c>
      <c r="B32" s="178" t="s">
        <v>692</v>
      </c>
      <c r="C32" s="312"/>
      <c r="D32" s="312">
        <v>3</v>
      </c>
      <c r="E32" s="312">
        <v>1</v>
      </c>
      <c r="F32" s="312">
        <f t="shared" ref="F32" si="8">G32/24</f>
        <v>0.5</v>
      </c>
      <c r="G32" s="355">
        <v>12</v>
      </c>
      <c r="H32" s="312">
        <v>5</v>
      </c>
      <c r="I32" s="312">
        <f t="shared" ref="I32" si="9">$G32-$H32</f>
        <v>7</v>
      </c>
      <c r="J32" s="312"/>
      <c r="K32" s="399"/>
      <c r="L32" s="312"/>
      <c r="M32" s="355"/>
      <c r="N32" s="312"/>
      <c r="O32" s="312"/>
      <c r="P32" s="312"/>
      <c r="Q32" s="312">
        <v>12</v>
      </c>
      <c r="R32" s="312"/>
      <c r="S32" s="312"/>
      <c r="T32" s="312"/>
      <c r="U32" s="399"/>
      <c r="V32" s="312"/>
      <c r="W32" s="150"/>
      <c r="X32" s="151">
        <f t="shared" si="7"/>
        <v>12</v>
      </c>
      <c r="Y32" s="152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</row>
    <row r="33" spans="1:35" s="184" customFormat="1" ht="39.75" customHeight="1" outlineLevel="1" x14ac:dyDescent="0.3">
      <c r="A33" s="478" t="s">
        <v>509</v>
      </c>
      <c r="B33" s="180" t="s">
        <v>510</v>
      </c>
      <c r="C33" s="409">
        <f>COUNT(C34:C38)</f>
        <v>0</v>
      </c>
      <c r="D33" s="409">
        <f>COUNT(D34:D38)</f>
        <v>4</v>
      </c>
      <c r="E33" s="409">
        <f>COUNT(E34:E38)</f>
        <v>4</v>
      </c>
      <c r="F33" s="410">
        <f>SUM(F34:F38)</f>
        <v>7</v>
      </c>
      <c r="G33" s="410">
        <f>SUM(G34:G38)</f>
        <v>168</v>
      </c>
      <c r="H33" s="410">
        <f>SUM(H34:H38)</f>
        <v>124</v>
      </c>
      <c r="I33" s="410">
        <f>SUM(I34:I38)</f>
        <v>44</v>
      </c>
      <c r="J33" s="410">
        <f t="shared" ref="J33:V33" si="10">SUM(J34:J38)</f>
        <v>0</v>
      </c>
      <c r="K33" s="410">
        <f t="shared" si="10"/>
        <v>0</v>
      </c>
      <c r="L33" s="410">
        <f t="shared" si="10"/>
        <v>0</v>
      </c>
      <c r="M33" s="410">
        <f t="shared" si="10"/>
        <v>0</v>
      </c>
      <c r="N33" s="410">
        <f t="shared" si="10"/>
        <v>0</v>
      </c>
      <c r="O33" s="410">
        <f t="shared" si="10"/>
        <v>0</v>
      </c>
      <c r="P33" s="410">
        <f t="shared" si="10"/>
        <v>0</v>
      </c>
      <c r="Q33" s="410">
        <f t="shared" si="10"/>
        <v>0</v>
      </c>
      <c r="R33" s="410">
        <f>SUM(R34:R38)</f>
        <v>168</v>
      </c>
      <c r="S33" s="410">
        <f t="shared" si="10"/>
        <v>0</v>
      </c>
      <c r="T33" s="410">
        <f t="shared" si="10"/>
        <v>0</v>
      </c>
      <c r="U33" s="410">
        <f t="shared" si="10"/>
        <v>0</v>
      </c>
      <c r="V33" s="410">
        <f t="shared" si="10"/>
        <v>0</v>
      </c>
      <c r="W33" s="172"/>
      <c r="X33" s="151">
        <f t="shared" si="7"/>
        <v>168</v>
      </c>
      <c r="Y33" s="17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</row>
    <row r="34" spans="1:35" s="153" customFormat="1" ht="26.4" outlineLevel="1" x14ac:dyDescent="0.3">
      <c r="A34" s="477" t="s">
        <v>693</v>
      </c>
      <c r="B34" s="178" t="s">
        <v>694</v>
      </c>
      <c r="C34" s="411"/>
      <c r="D34" s="412">
        <v>4</v>
      </c>
      <c r="E34" s="412">
        <v>1</v>
      </c>
      <c r="F34" s="412">
        <f>G34/24</f>
        <v>0.5</v>
      </c>
      <c r="G34" s="357">
        <v>12</v>
      </c>
      <c r="H34" s="413">
        <v>12</v>
      </c>
      <c r="I34" s="412"/>
      <c r="J34" s="414"/>
      <c r="K34" s="414"/>
      <c r="L34" s="414"/>
      <c r="M34" s="411"/>
      <c r="N34" s="411"/>
      <c r="O34" s="411"/>
      <c r="P34" s="412"/>
      <c r="Q34" s="312"/>
      <c r="R34" s="312">
        <v>12</v>
      </c>
      <c r="S34" s="312"/>
      <c r="T34" s="312"/>
      <c r="U34" s="399"/>
      <c r="V34" s="412"/>
      <c r="W34" s="150"/>
      <c r="X34" s="151">
        <f t="shared" si="7"/>
        <v>12</v>
      </c>
      <c r="Y34" s="152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</row>
    <row r="35" spans="1:35" s="153" customFormat="1" ht="36" customHeight="1" outlineLevel="1" x14ac:dyDescent="0.3">
      <c r="A35" s="477" t="s">
        <v>698</v>
      </c>
      <c r="B35" s="178" t="s">
        <v>798</v>
      </c>
      <c r="C35" s="411"/>
      <c r="D35" s="412">
        <v>4</v>
      </c>
      <c r="E35" s="412">
        <v>1</v>
      </c>
      <c r="F35" s="412">
        <f>G35/24</f>
        <v>2</v>
      </c>
      <c r="G35" s="415">
        <v>48</v>
      </c>
      <c r="H35" s="416">
        <v>36</v>
      </c>
      <c r="I35" s="412">
        <v>12</v>
      </c>
      <c r="J35" s="417"/>
      <c r="K35" s="417"/>
      <c r="L35" s="414"/>
      <c r="M35" s="418"/>
      <c r="N35" s="418"/>
      <c r="O35" s="411"/>
      <c r="P35" s="419"/>
      <c r="Q35" s="420"/>
      <c r="R35" s="420">
        <v>48</v>
      </c>
      <c r="S35" s="420"/>
      <c r="T35" s="420"/>
      <c r="U35" s="421"/>
      <c r="V35" s="419"/>
      <c r="W35" s="150"/>
      <c r="X35" s="151"/>
      <c r="Y35" s="152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</row>
    <row r="36" spans="1:35" s="153" customFormat="1" ht="20.25" customHeight="1" outlineLevel="1" x14ac:dyDescent="0.3">
      <c r="A36" s="477" t="s">
        <v>699</v>
      </c>
      <c r="B36" s="178" t="s">
        <v>695</v>
      </c>
      <c r="C36" s="395"/>
      <c r="D36" s="312">
        <v>4</v>
      </c>
      <c r="E36" s="312">
        <v>1</v>
      </c>
      <c r="F36" s="307">
        <f>G36/24</f>
        <v>1.5</v>
      </c>
      <c r="G36" s="422">
        <v>36</v>
      </c>
      <c r="H36" s="420">
        <v>28</v>
      </c>
      <c r="I36" s="312">
        <f>$G36-$H36-$M36</f>
        <v>8</v>
      </c>
      <c r="J36" s="423"/>
      <c r="K36" s="423"/>
      <c r="L36" s="414"/>
      <c r="M36" s="423"/>
      <c r="N36" s="424"/>
      <c r="O36" s="425"/>
      <c r="P36" s="423"/>
      <c r="Q36" s="423"/>
      <c r="R36" s="426">
        <v>36</v>
      </c>
      <c r="S36" s="426"/>
      <c r="T36" s="423"/>
      <c r="U36" s="420"/>
      <c r="V36" s="420"/>
      <c r="W36" s="150"/>
      <c r="X36" s="151">
        <f t="shared" si="7"/>
        <v>36</v>
      </c>
      <c r="Y36" s="152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</row>
    <row r="37" spans="1:35" s="153" customFormat="1" ht="21.75" customHeight="1" outlineLevel="1" x14ac:dyDescent="0.3">
      <c r="A37" s="477" t="s">
        <v>700</v>
      </c>
      <c r="B37" s="178" t="s">
        <v>696</v>
      </c>
      <c r="C37" s="427"/>
      <c r="D37" s="312">
        <v>4</v>
      </c>
      <c r="E37" s="312">
        <v>1</v>
      </c>
      <c r="F37" s="307">
        <f>G37/24</f>
        <v>2.5</v>
      </c>
      <c r="G37" s="355">
        <v>60</v>
      </c>
      <c r="H37" s="312">
        <v>40</v>
      </c>
      <c r="I37" s="312">
        <f>$G37-$H37-$M37</f>
        <v>20</v>
      </c>
      <c r="J37" s="427"/>
      <c r="K37" s="307"/>
      <c r="L37" s="414"/>
      <c r="M37" s="427"/>
      <c r="N37" s="427"/>
      <c r="O37" s="427"/>
      <c r="P37" s="427"/>
      <c r="Q37" s="427"/>
      <c r="R37" s="307">
        <v>60</v>
      </c>
      <c r="S37" s="307"/>
      <c r="T37" s="427"/>
      <c r="U37" s="399"/>
      <c r="V37" s="312"/>
      <c r="W37" s="150"/>
      <c r="X37" s="151">
        <f t="shared" si="7"/>
        <v>60</v>
      </c>
      <c r="Y37" s="152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</row>
    <row r="38" spans="1:35" s="153" customFormat="1" outlineLevel="1" x14ac:dyDescent="0.3">
      <c r="A38" s="477" t="s">
        <v>701</v>
      </c>
      <c r="B38" s="178" t="s">
        <v>697</v>
      </c>
      <c r="C38" s="427"/>
      <c r="D38" s="312"/>
      <c r="E38" s="312"/>
      <c r="F38" s="307">
        <f t="shared" ref="F38" si="11">G38/24</f>
        <v>0.5</v>
      </c>
      <c r="G38" s="355">
        <v>12</v>
      </c>
      <c r="H38" s="312">
        <v>8</v>
      </c>
      <c r="I38" s="312">
        <f>$G38-$H38-$M38</f>
        <v>4</v>
      </c>
      <c r="J38" s="427"/>
      <c r="K38" s="427"/>
      <c r="L38" s="414"/>
      <c r="M38" s="427"/>
      <c r="N38" s="427"/>
      <c r="O38" s="427"/>
      <c r="P38" s="427"/>
      <c r="Q38" s="427"/>
      <c r="R38" s="307">
        <v>12</v>
      </c>
      <c r="S38" s="307"/>
      <c r="T38" s="427"/>
      <c r="U38" s="399"/>
      <c r="V38" s="312"/>
      <c r="W38" s="150"/>
      <c r="X38" s="151">
        <f t="shared" si="7"/>
        <v>12</v>
      </c>
      <c r="Y38" s="152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</row>
    <row r="39" spans="1:35" s="218" customFormat="1" ht="15.75" customHeight="1" outlineLevel="2" x14ac:dyDescent="0.3">
      <c r="A39" s="479" t="s">
        <v>518</v>
      </c>
      <c r="B39" s="212" t="s">
        <v>519</v>
      </c>
      <c r="C39" s="428">
        <f>COUNT(C40:C42)</f>
        <v>1</v>
      </c>
      <c r="D39" s="428">
        <f>COUNT(D40:D42)</f>
        <v>3</v>
      </c>
      <c r="E39" s="428">
        <f>COUNT(E40:E42)</f>
        <v>1</v>
      </c>
      <c r="F39" s="429">
        <f>SUM(F40:F42)</f>
        <v>11.5</v>
      </c>
      <c r="G39" s="430">
        <f>SUM(G40:G42)</f>
        <v>276</v>
      </c>
      <c r="H39" s="429">
        <f>SUM(H40:H42)</f>
        <v>12</v>
      </c>
      <c r="I39" s="429">
        <f>SUM(I40:I42)</f>
        <v>0</v>
      </c>
      <c r="J39" s="429">
        <f t="shared" ref="J39:V39" si="12">SUM(J40:J42)</f>
        <v>0</v>
      </c>
      <c r="K39" s="429">
        <f t="shared" si="12"/>
        <v>0</v>
      </c>
      <c r="L39" s="429">
        <f t="shared" si="12"/>
        <v>0</v>
      </c>
      <c r="M39" s="429">
        <f>SUM(M40:M42)</f>
        <v>264</v>
      </c>
      <c r="N39" s="429">
        <f t="shared" si="12"/>
        <v>0</v>
      </c>
      <c r="O39" s="429">
        <f t="shared" si="12"/>
        <v>0</v>
      </c>
      <c r="P39" s="429">
        <f t="shared" si="12"/>
        <v>0</v>
      </c>
      <c r="Q39" s="429">
        <f t="shared" si="12"/>
        <v>276</v>
      </c>
      <c r="R39" s="429">
        <f t="shared" si="12"/>
        <v>0</v>
      </c>
      <c r="S39" s="429">
        <f t="shared" si="12"/>
        <v>0</v>
      </c>
      <c r="T39" s="429">
        <f t="shared" si="12"/>
        <v>0</v>
      </c>
      <c r="U39" s="429">
        <f t="shared" si="12"/>
        <v>0</v>
      </c>
      <c r="V39" s="429">
        <f t="shared" si="12"/>
        <v>0</v>
      </c>
      <c r="W39" s="163"/>
      <c r="X39" s="151">
        <f t="shared" si="7"/>
        <v>276</v>
      </c>
      <c r="Y39" s="216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</row>
    <row r="40" spans="1:35" s="153" customFormat="1" ht="27" customHeight="1" outlineLevel="2" x14ac:dyDescent="0.3">
      <c r="A40" s="477" t="s">
        <v>702</v>
      </c>
      <c r="B40" s="220" t="s">
        <v>705</v>
      </c>
      <c r="C40" s="411"/>
      <c r="D40" s="412">
        <v>3</v>
      </c>
      <c r="E40" s="412"/>
      <c r="F40" s="412">
        <f>G40/24</f>
        <v>1.5</v>
      </c>
      <c r="G40" s="357">
        <v>36</v>
      </c>
      <c r="H40" s="413"/>
      <c r="I40" s="413"/>
      <c r="J40" s="414"/>
      <c r="K40" s="414"/>
      <c r="L40" s="414"/>
      <c r="M40" s="411">
        <v>36</v>
      </c>
      <c r="N40" s="411"/>
      <c r="O40" s="411"/>
      <c r="P40" s="412"/>
      <c r="Q40" s="312">
        <v>36</v>
      </c>
      <c r="R40" s="312"/>
      <c r="S40" s="312"/>
      <c r="T40" s="312"/>
      <c r="U40" s="399"/>
      <c r="V40" s="412"/>
      <c r="W40" s="150"/>
      <c r="X40" s="151">
        <f t="shared" si="7"/>
        <v>36</v>
      </c>
      <c r="Y40" s="152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</row>
    <row r="41" spans="1:35" s="153" customFormat="1" ht="44.25" customHeight="1" outlineLevel="2" x14ac:dyDescent="0.3">
      <c r="A41" s="477" t="s">
        <v>703</v>
      </c>
      <c r="B41" s="186" t="s">
        <v>706</v>
      </c>
      <c r="C41" s="412"/>
      <c r="D41" s="412">
        <v>3</v>
      </c>
      <c r="E41" s="412">
        <v>1</v>
      </c>
      <c r="F41" s="412">
        <f>G41/24</f>
        <v>6</v>
      </c>
      <c r="G41" s="431">
        <v>144</v>
      </c>
      <c r="H41" s="412">
        <v>12</v>
      </c>
      <c r="I41" s="412"/>
      <c r="J41" s="412"/>
      <c r="K41" s="412"/>
      <c r="L41" s="414"/>
      <c r="M41" s="432">
        <v>132</v>
      </c>
      <c r="N41" s="412"/>
      <c r="O41" s="412"/>
      <c r="P41" s="412"/>
      <c r="Q41" s="312">
        <v>144</v>
      </c>
      <c r="R41" s="312"/>
      <c r="S41" s="312"/>
      <c r="T41" s="312"/>
      <c r="U41" s="399"/>
      <c r="V41" s="412"/>
      <c r="W41" s="150"/>
      <c r="X41" s="151">
        <f t="shared" si="7"/>
        <v>144</v>
      </c>
      <c r="Y41" s="152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</row>
    <row r="42" spans="1:35" s="153" customFormat="1" ht="35.25" customHeight="1" outlineLevel="2" x14ac:dyDescent="0.3">
      <c r="A42" s="477" t="s">
        <v>704</v>
      </c>
      <c r="B42" s="186" t="s">
        <v>713</v>
      </c>
      <c r="C42" s="412">
        <v>3</v>
      </c>
      <c r="D42" s="412">
        <v>3</v>
      </c>
      <c r="E42" s="412"/>
      <c r="F42" s="412">
        <f t="shared" ref="F42" si="13">G42/24</f>
        <v>4</v>
      </c>
      <c r="G42" s="431">
        <v>96</v>
      </c>
      <c r="H42" s="412"/>
      <c r="I42" s="412"/>
      <c r="J42" s="412"/>
      <c r="K42" s="412"/>
      <c r="L42" s="414"/>
      <c r="M42" s="432">
        <v>96</v>
      </c>
      <c r="N42" s="412"/>
      <c r="O42" s="412"/>
      <c r="P42" s="412"/>
      <c r="Q42" s="312">
        <v>96</v>
      </c>
      <c r="R42" s="312"/>
      <c r="S42" s="312"/>
      <c r="T42" s="312"/>
      <c r="U42" s="399"/>
      <c r="V42" s="412"/>
      <c r="W42" s="150"/>
      <c r="X42" s="151">
        <f t="shared" si="7"/>
        <v>96</v>
      </c>
      <c r="Y42" s="152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</row>
    <row r="43" spans="1:35" s="218" customFormat="1" ht="20.25" customHeight="1" outlineLevel="2" x14ac:dyDescent="0.3">
      <c r="A43" s="479" t="s">
        <v>527</v>
      </c>
      <c r="B43" s="212" t="s">
        <v>528</v>
      </c>
      <c r="C43" s="433">
        <f>COUNT(C44:C47)</f>
        <v>2</v>
      </c>
      <c r="D43" s="433">
        <f>COUNT(D44:D47)</f>
        <v>4</v>
      </c>
      <c r="E43" s="433">
        <f>COUNT(E44:E47)</f>
        <v>3</v>
      </c>
      <c r="F43" s="433">
        <f>SUM(F44:F47)</f>
        <v>19.5</v>
      </c>
      <c r="G43" s="433">
        <f>SUM(G44:G47)</f>
        <v>468</v>
      </c>
      <c r="H43" s="433">
        <f>SUM(H44:H47)</f>
        <v>48</v>
      </c>
      <c r="I43" s="433">
        <f t="shared" ref="I43:V43" si="14">SUM(I44:I47)</f>
        <v>0</v>
      </c>
      <c r="J43" s="433">
        <f t="shared" si="14"/>
        <v>0</v>
      </c>
      <c r="K43" s="433">
        <f t="shared" si="14"/>
        <v>0</v>
      </c>
      <c r="L43" s="433">
        <f t="shared" si="14"/>
        <v>0</v>
      </c>
      <c r="M43" s="433">
        <f t="shared" si="14"/>
        <v>420</v>
      </c>
      <c r="N43" s="433">
        <f t="shared" si="14"/>
        <v>0</v>
      </c>
      <c r="O43" s="433">
        <f t="shared" si="14"/>
        <v>0</v>
      </c>
      <c r="P43" s="433">
        <f t="shared" si="14"/>
        <v>0</v>
      </c>
      <c r="Q43" s="433">
        <f t="shared" si="14"/>
        <v>432</v>
      </c>
      <c r="R43" s="433">
        <f t="shared" si="14"/>
        <v>36</v>
      </c>
      <c r="S43" s="433">
        <f t="shared" si="14"/>
        <v>0</v>
      </c>
      <c r="T43" s="433">
        <f t="shared" si="14"/>
        <v>0</v>
      </c>
      <c r="U43" s="433">
        <f t="shared" si="14"/>
        <v>0</v>
      </c>
      <c r="V43" s="433">
        <f t="shared" si="14"/>
        <v>0</v>
      </c>
      <c r="W43" s="163"/>
      <c r="X43" s="151">
        <f t="shared" si="7"/>
        <v>468</v>
      </c>
      <c r="Y43" s="216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</row>
    <row r="44" spans="1:35" s="153" customFormat="1" ht="26.25" customHeight="1" outlineLevel="2" x14ac:dyDescent="0.3">
      <c r="A44" s="477" t="s">
        <v>707</v>
      </c>
      <c r="B44" s="186" t="s">
        <v>711</v>
      </c>
      <c r="C44" s="393"/>
      <c r="D44" s="224">
        <v>4</v>
      </c>
      <c r="E44" s="224">
        <v>1</v>
      </c>
      <c r="F44" s="393">
        <v>6</v>
      </c>
      <c r="G44" s="393">
        <v>144</v>
      </c>
      <c r="H44" s="224">
        <v>12</v>
      </c>
      <c r="I44" s="224"/>
      <c r="J44" s="393"/>
      <c r="K44" s="224"/>
      <c r="L44" s="224"/>
      <c r="M44" s="224">
        <v>132</v>
      </c>
      <c r="N44" s="224"/>
      <c r="O44" s="224"/>
      <c r="P44" s="224"/>
      <c r="Q44" s="224">
        <v>144</v>
      </c>
      <c r="R44" s="224"/>
      <c r="S44" s="393"/>
      <c r="T44" s="393"/>
      <c r="U44" s="393"/>
      <c r="V44" s="393"/>
      <c r="W44" s="150"/>
      <c r="X44" s="151">
        <f t="shared" si="7"/>
        <v>144</v>
      </c>
      <c r="Y44" s="152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</row>
    <row r="45" spans="1:35" s="153" customFormat="1" ht="26.25" customHeight="1" outlineLevel="2" x14ac:dyDescent="0.3">
      <c r="A45" s="477" t="s">
        <v>708</v>
      </c>
      <c r="B45" s="186" t="s">
        <v>802</v>
      </c>
      <c r="C45" s="312"/>
      <c r="D45" s="312">
        <v>4</v>
      </c>
      <c r="E45" s="312">
        <v>1</v>
      </c>
      <c r="F45" s="312">
        <f>G45/24</f>
        <v>10</v>
      </c>
      <c r="G45" s="353">
        <v>240</v>
      </c>
      <c r="H45" s="359">
        <v>24</v>
      </c>
      <c r="I45" s="312"/>
      <c r="J45" s="359"/>
      <c r="K45" s="359"/>
      <c r="L45" s="359"/>
      <c r="M45" s="359">
        <v>216</v>
      </c>
      <c r="N45" s="359"/>
      <c r="O45" s="312"/>
      <c r="P45" s="312"/>
      <c r="Q45" s="312">
        <v>240</v>
      </c>
      <c r="R45" s="224"/>
      <c r="S45" s="393"/>
      <c r="T45" s="393"/>
      <c r="U45" s="393"/>
      <c r="V45" s="393"/>
      <c r="W45" s="150"/>
      <c r="X45" s="151">
        <f t="shared" si="7"/>
        <v>240</v>
      </c>
      <c r="Y45" s="152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</row>
    <row r="46" spans="1:35" s="153" customFormat="1" ht="46.5" customHeight="1" outlineLevel="2" x14ac:dyDescent="0.3">
      <c r="A46" s="477" t="s">
        <v>709</v>
      </c>
      <c r="B46" s="186" t="s">
        <v>764</v>
      </c>
      <c r="C46" s="312">
        <v>4</v>
      </c>
      <c r="D46" s="312">
        <v>4</v>
      </c>
      <c r="E46" s="312"/>
      <c r="F46" s="312">
        <v>1.5</v>
      </c>
      <c r="G46" s="353">
        <v>36</v>
      </c>
      <c r="H46" s="359"/>
      <c r="I46" s="312"/>
      <c r="J46" s="359"/>
      <c r="K46" s="359"/>
      <c r="L46" s="359"/>
      <c r="M46" s="359">
        <v>36</v>
      </c>
      <c r="N46" s="359"/>
      <c r="O46" s="312"/>
      <c r="P46" s="312"/>
      <c r="Q46" s="312"/>
      <c r="R46" s="224">
        <v>36</v>
      </c>
      <c r="S46" s="393"/>
      <c r="T46" s="393"/>
      <c r="U46" s="393"/>
      <c r="V46" s="393"/>
      <c r="W46" s="150"/>
      <c r="X46" s="151">
        <f t="shared" si="7"/>
        <v>36</v>
      </c>
      <c r="Y46" s="152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</row>
    <row r="47" spans="1:35" s="153" customFormat="1" ht="47.25" customHeight="1" outlineLevel="2" x14ac:dyDescent="0.3">
      <c r="A47" s="477" t="s">
        <v>710</v>
      </c>
      <c r="B47" s="186" t="s">
        <v>712</v>
      </c>
      <c r="C47" s="312">
        <v>3</v>
      </c>
      <c r="D47" s="312">
        <v>3</v>
      </c>
      <c r="E47" s="312">
        <v>1</v>
      </c>
      <c r="F47" s="312">
        <v>2</v>
      </c>
      <c r="G47" s="355">
        <v>48</v>
      </c>
      <c r="H47" s="312">
        <v>12</v>
      </c>
      <c r="I47" s="312"/>
      <c r="J47" s="312"/>
      <c r="K47" s="312"/>
      <c r="L47" s="312"/>
      <c r="M47" s="312">
        <v>36</v>
      </c>
      <c r="N47" s="312"/>
      <c r="O47" s="312"/>
      <c r="P47" s="312"/>
      <c r="Q47" s="312">
        <v>48</v>
      </c>
      <c r="R47" s="312"/>
      <c r="S47" s="312"/>
      <c r="T47" s="312"/>
      <c r="U47" s="399"/>
      <c r="V47" s="312"/>
      <c r="W47" s="150"/>
      <c r="X47" s="151">
        <f t="shared" si="7"/>
        <v>48</v>
      </c>
      <c r="Y47" s="152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</row>
    <row r="48" spans="1:35" s="218" customFormat="1" ht="26.4" outlineLevel="2" x14ac:dyDescent="0.3">
      <c r="A48" s="480" t="s">
        <v>538</v>
      </c>
      <c r="B48" s="229" t="s">
        <v>539</v>
      </c>
      <c r="C48" s="433">
        <f>COUNT(C49:C51)</f>
        <v>0</v>
      </c>
      <c r="D48" s="433">
        <f>COUNT(D49:D51)</f>
        <v>1</v>
      </c>
      <c r="E48" s="433">
        <f>COUNT(E49:E51)</f>
        <v>0</v>
      </c>
      <c r="F48" s="309">
        <f t="shared" ref="F48:K48" si="15">SUM(F49:F51)</f>
        <v>4.5</v>
      </c>
      <c r="G48" s="309">
        <f t="shared" si="15"/>
        <v>108</v>
      </c>
      <c r="H48" s="309">
        <f t="shared" si="15"/>
        <v>0</v>
      </c>
      <c r="I48" s="309">
        <f t="shared" si="15"/>
        <v>0</v>
      </c>
      <c r="J48" s="309">
        <f t="shared" si="15"/>
        <v>0</v>
      </c>
      <c r="K48" s="309">
        <f t="shared" si="15"/>
        <v>0</v>
      </c>
      <c r="L48" s="309">
        <f t="shared" ref="L48:V48" si="16">SUM(L49:L51)</f>
        <v>0</v>
      </c>
      <c r="M48" s="309">
        <f t="shared" si="16"/>
        <v>108</v>
      </c>
      <c r="N48" s="309">
        <f t="shared" si="16"/>
        <v>0</v>
      </c>
      <c r="O48" s="309">
        <f t="shared" si="16"/>
        <v>0</v>
      </c>
      <c r="P48" s="309">
        <f t="shared" si="16"/>
        <v>0</v>
      </c>
      <c r="Q48" s="309">
        <f t="shared" si="16"/>
        <v>0</v>
      </c>
      <c r="R48" s="309">
        <f t="shared" si="16"/>
        <v>108</v>
      </c>
      <c r="S48" s="309">
        <f t="shared" si="16"/>
        <v>0</v>
      </c>
      <c r="T48" s="309">
        <f t="shared" si="16"/>
        <v>0</v>
      </c>
      <c r="U48" s="309">
        <f t="shared" si="16"/>
        <v>0</v>
      </c>
      <c r="V48" s="309">
        <f t="shared" si="16"/>
        <v>0</v>
      </c>
      <c r="W48" s="163"/>
      <c r="X48" s="151">
        <f t="shared" si="7"/>
        <v>108</v>
      </c>
      <c r="Y48" s="216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</row>
    <row r="49" spans="1:35" s="153" customFormat="1" ht="30" customHeight="1" outlineLevel="2" x14ac:dyDescent="0.3">
      <c r="A49" s="477" t="s">
        <v>714</v>
      </c>
      <c r="B49" s="186" t="s">
        <v>716</v>
      </c>
      <c r="C49" s="393"/>
      <c r="D49" s="393"/>
      <c r="E49" s="393"/>
      <c r="F49" s="432">
        <f t="shared" ref="F49:F50" si="17">G49/24</f>
        <v>1.5</v>
      </c>
      <c r="G49" s="353">
        <v>36</v>
      </c>
      <c r="H49" s="224"/>
      <c r="I49" s="224"/>
      <c r="J49" s="224"/>
      <c r="K49" s="224"/>
      <c r="L49" s="224"/>
      <c r="M49" s="224">
        <v>36</v>
      </c>
      <c r="N49" s="224"/>
      <c r="O49" s="224"/>
      <c r="P49" s="224"/>
      <c r="Q49" s="224"/>
      <c r="R49" s="224">
        <v>36</v>
      </c>
      <c r="S49" s="393"/>
      <c r="T49" s="393"/>
      <c r="U49" s="393"/>
      <c r="V49" s="393"/>
      <c r="W49" s="150"/>
      <c r="X49" s="151"/>
      <c r="Y49" s="152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</row>
    <row r="50" spans="1:35" s="153" customFormat="1" ht="28.5" customHeight="1" outlineLevel="2" x14ac:dyDescent="0.3">
      <c r="A50" s="477" t="s">
        <v>698</v>
      </c>
      <c r="B50" s="186" t="s">
        <v>717</v>
      </c>
      <c r="C50" s="393"/>
      <c r="D50" s="393"/>
      <c r="E50" s="393"/>
      <c r="F50" s="432">
        <f t="shared" si="17"/>
        <v>1.5</v>
      </c>
      <c r="G50" s="353">
        <v>36</v>
      </c>
      <c r="H50" s="224"/>
      <c r="I50" s="224"/>
      <c r="J50" s="224"/>
      <c r="K50" s="224"/>
      <c r="L50" s="224"/>
      <c r="M50" s="224">
        <v>36</v>
      </c>
      <c r="N50" s="224"/>
      <c r="O50" s="224"/>
      <c r="P50" s="224"/>
      <c r="Q50" s="224"/>
      <c r="R50" s="224">
        <v>36</v>
      </c>
      <c r="S50" s="393"/>
      <c r="T50" s="393"/>
      <c r="U50" s="393"/>
      <c r="V50" s="393"/>
      <c r="W50" s="150"/>
      <c r="X50" s="151"/>
      <c r="Y50" s="152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</row>
    <row r="51" spans="1:35" s="153" customFormat="1" ht="37.5" customHeight="1" outlineLevel="2" x14ac:dyDescent="0.3">
      <c r="A51" s="477" t="s">
        <v>715</v>
      </c>
      <c r="B51" s="186" t="s">
        <v>718</v>
      </c>
      <c r="C51" s="434"/>
      <c r="D51" s="435">
        <v>4</v>
      </c>
      <c r="E51" s="435"/>
      <c r="F51" s="432">
        <f>G51/24</f>
        <v>1.5</v>
      </c>
      <c r="G51" s="357">
        <v>36</v>
      </c>
      <c r="H51" s="358"/>
      <c r="I51" s="358"/>
      <c r="J51" s="358"/>
      <c r="K51" s="358"/>
      <c r="L51" s="358"/>
      <c r="M51" s="358">
        <v>36</v>
      </c>
      <c r="N51" s="358"/>
      <c r="O51" s="358"/>
      <c r="P51" s="358"/>
      <c r="Q51" s="359"/>
      <c r="R51" s="359">
        <v>36</v>
      </c>
      <c r="S51" s="224"/>
      <c r="T51" s="224"/>
      <c r="U51" s="436"/>
      <c r="V51" s="437"/>
      <c r="W51" s="150"/>
      <c r="X51" s="151">
        <f t="shared" si="7"/>
        <v>36</v>
      </c>
      <c r="Y51" s="152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</row>
    <row r="52" spans="1:35" s="153" customFormat="1" ht="25.5" customHeight="1" outlineLevel="2" x14ac:dyDescent="0.3">
      <c r="A52" s="479" t="s">
        <v>543</v>
      </c>
      <c r="B52" s="212" t="s">
        <v>544</v>
      </c>
      <c r="C52" s="433">
        <f>COUNT(C53:C56)</f>
        <v>1</v>
      </c>
      <c r="D52" s="433">
        <v>2</v>
      </c>
      <c r="E52" s="433">
        <f>COUNT(E53:E56)</f>
        <v>4</v>
      </c>
      <c r="F52" s="433">
        <f t="shared" ref="F52:R52" si="18">SUM(F53:F56)</f>
        <v>9</v>
      </c>
      <c r="G52" s="433">
        <f t="shared" si="18"/>
        <v>216</v>
      </c>
      <c r="H52" s="433">
        <f t="shared" si="18"/>
        <v>36</v>
      </c>
      <c r="I52" s="433">
        <f t="shared" si="18"/>
        <v>36</v>
      </c>
      <c r="J52" s="433">
        <f t="shared" si="18"/>
        <v>0</v>
      </c>
      <c r="K52" s="433">
        <f t="shared" si="18"/>
        <v>0</v>
      </c>
      <c r="L52" s="433">
        <f t="shared" si="18"/>
        <v>0</v>
      </c>
      <c r="M52" s="433">
        <f t="shared" si="18"/>
        <v>144</v>
      </c>
      <c r="N52" s="433">
        <f t="shared" si="18"/>
        <v>0</v>
      </c>
      <c r="O52" s="433">
        <f t="shared" si="18"/>
        <v>0</v>
      </c>
      <c r="P52" s="433">
        <f t="shared" si="18"/>
        <v>0</v>
      </c>
      <c r="Q52" s="433">
        <f t="shared" si="18"/>
        <v>0</v>
      </c>
      <c r="R52" s="433">
        <f t="shared" si="18"/>
        <v>216</v>
      </c>
      <c r="S52" s="433"/>
      <c r="T52" s="433">
        <f>SUM(T53:T56)</f>
        <v>0</v>
      </c>
      <c r="U52" s="433">
        <f>SUM(U53:U56)</f>
        <v>0</v>
      </c>
      <c r="V52" s="433">
        <f>SUM(V53:V56)</f>
        <v>0</v>
      </c>
      <c r="W52" s="150"/>
      <c r="X52" s="151"/>
      <c r="Y52" s="152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</row>
    <row r="53" spans="1:35" s="153" customFormat="1" ht="45" customHeight="1" outlineLevel="2" x14ac:dyDescent="0.3">
      <c r="A53" s="477" t="s">
        <v>719</v>
      </c>
      <c r="B53" s="186" t="s">
        <v>723</v>
      </c>
      <c r="C53" s="412"/>
      <c r="D53" s="412"/>
      <c r="E53" s="412">
        <v>1</v>
      </c>
      <c r="F53" s="412">
        <f>G53/24</f>
        <v>1</v>
      </c>
      <c r="G53" s="431">
        <v>24</v>
      </c>
      <c r="H53" s="412"/>
      <c r="I53" s="412"/>
      <c r="J53" s="312"/>
      <c r="K53" s="412"/>
      <c r="L53" s="412"/>
      <c r="M53" s="412">
        <v>24</v>
      </c>
      <c r="N53" s="432"/>
      <c r="O53" s="412"/>
      <c r="P53" s="412"/>
      <c r="Q53" s="412"/>
      <c r="R53" s="312">
        <v>24</v>
      </c>
      <c r="S53" s="312"/>
      <c r="T53" s="312"/>
      <c r="U53" s="312"/>
      <c r="V53" s="312"/>
      <c r="W53" s="150"/>
      <c r="X53" s="151"/>
      <c r="Y53" s="152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</row>
    <row r="54" spans="1:35" s="153" customFormat="1" ht="39.75" customHeight="1" outlineLevel="2" x14ac:dyDescent="0.3">
      <c r="A54" s="477" t="s">
        <v>720</v>
      </c>
      <c r="B54" s="186" t="s">
        <v>724</v>
      </c>
      <c r="C54" s="412"/>
      <c r="D54" s="412"/>
      <c r="E54" s="412">
        <v>1</v>
      </c>
      <c r="F54" s="412">
        <f t="shared" ref="F54" si="19">G54/24</f>
        <v>1</v>
      </c>
      <c r="G54" s="431">
        <v>24</v>
      </c>
      <c r="H54" s="412"/>
      <c r="I54" s="412"/>
      <c r="J54" s="312"/>
      <c r="K54" s="412"/>
      <c r="L54" s="412"/>
      <c r="M54" s="432">
        <v>24</v>
      </c>
      <c r="N54" s="312"/>
      <c r="O54" s="411"/>
      <c r="P54" s="412"/>
      <c r="Q54" s="412"/>
      <c r="R54" s="312">
        <v>24</v>
      </c>
      <c r="S54" s="312"/>
      <c r="T54" s="312"/>
      <c r="U54" s="312"/>
      <c r="V54" s="312"/>
      <c r="W54" s="150"/>
      <c r="X54" s="151"/>
      <c r="Y54" s="152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</row>
    <row r="55" spans="1:35" s="153" customFormat="1" ht="32.25" customHeight="1" outlineLevel="2" x14ac:dyDescent="0.3">
      <c r="A55" s="477" t="s">
        <v>721</v>
      </c>
      <c r="B55" s="186" t="s">
        <v>725</v>
      </c>
      <c r="C55" s="412"/>
      <c r="D55" s="412"/>
      <c r="E55" s="412">
        <v>2</v>
      </c>
      <c r="F55" s="412">
        <f t="shared" ref="F55" si="20">G55/24</f>
        <v>1.5</v>
      </c>
      <c r="G55" s="357">
        <v>36</v>
      </c>
      <c r="H55" s="413">
        <v>12</v>
      </c>
      <c r="I55" s="412"/>
      <c r="J55" s="312"/>
      <c r="K55" s="413"/>
      <c r="L55" s="413"/>
      <c r="M55" s="413">
        <v>24</v>
      </c>
      <c r="N55" s="312"/>
      <c r="O55" s="414"/>
      <c r="P55" s="414"/>
      <c r="Q55" s="411"/>
      <c r="R55" s="312">
        <v>36</v>
      </c>
      <c r="S55" s="312"/>
      <c r="T55" s="312"/>
      <c r="U55" s="312"/>
      <c r="V55" s="312"/>
      <c r="W55" s="150"/>
      <c r="X55" s="151"/>
      <c r="Y55" s="152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</row>
    <row r="56" spans="1:35" s="153" customFormat="1" ht="66.75" customHeight="1" outlineLevel="2" x14ac:dyDescent="0.3">
      <c r="A56" s="477" t="s">
        <v>722</v>
      </c>
      <c r="B56" s="186" t="s">
        <v>726</v>
      </c>
      <c r="C56" s="412">
        <v>4</v>
      </c>
      <c r="D56" s="412">
        <v>5</v>
      </c>
      <c r="E56" s="412">
        <v>1</v>
      </c>
      <c r="F56" s="412">
        <f>G56/24</f>
        <v>5.5</v>
      </c>
      <c r="G56" s="431">
        <v>132</v>
      </c>
      <c r="H56" s="412">
        <v>24</v>
      </c>
      <c r="I56" s="412">
        <v>36</v>
      </c>
      <c r="J56" s="312"/>
      <c r="K56" s="412"/>
      <c r="L56" s="412"/>
      <c r="M56" s="432">
        <v>72</v>
      </c>
      <c r="N56" s="312"/>
      <c r="O56" s="411"/>
      <c r="P56" s="412"/>
      <c r="Q56" s="412"/>
      <c r="R56" s="312">
        <v>132</v>
      </c>
      <c r="S56" s="312"/>
      <c r="T56" s="312"/>
      <c r="U56" s="312"/>
      <c r="V56" s="312"/>
      <c r="W56" s="150"/>
      <c r="X56" s="151"/>
      <c r="Y56" s="152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</row>
    <row r="57" spans="1:35" s="252" customFormat="1" ht="24" customHeight="1" outlineLevel="2" x14ac:dyDescent="0.3">
      <c r="A57" s="481" t="s">
        <v>554</v>
      </c>
      <c r="B57" s="466" t="s">
        <v>455</v>
      </c>
      <c r="C57" s="467"/>
      <c r="D57" s="438"/>
      <c r="E57" s="438"/>
      <c r="F57" s="468">
        <v>3</v>
      </c>
      <c r="G57" s="469">
        <v>72</v>
      </c>
      <c r="H57" s="470">
        <v>72</v>
      </c>
      <c r="I57" s="438"/>
      <c r="J57" s="470"/>
      <c r="K57" s="470"/>
      <c r="L57" s="470"/>
      <c r="M57" s="470"/>
      <c r="N57" s="470"/>
      <c r="O57" s="438"/>
      <c r="P57" s="470"/>
      <c r="Q57" s="470">
        <v>36</v>
      </c>
      <c r="R57" s="470">
        <v>36</v>
      </c>
      <c r="S57" s="470"/>
      <c r="T57" s="470"/>
      <c r="U57" s="470"/>
      <c r="V57" s="470"/>
      <c r="W57" s="249"/>
      <c r="X57" s="151">
        <f t="shared" si="7"/>
        <v>72</v>
      </c>
      <c r="Y57" s="250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</row>
    <row r="58" spans="1:35" s="174" customFormat="1" ht="15.75" customHeight="1" outlineLevel="2" x14ac:dyDescent="0.25">
      <c r="A58" s="482"/>
      <c r="B58" s="254" t="s">
        <v>555</v>
      </c>
      <c r="C58" s="439">
        <f>SUM(C27+C30+C33+C39+C43+C48+C52)</f>
        <v>5</v>
      </c>
      <c r="D58" s="439">
        <f>SUM(D27+D30+D33+D39+D43+D48+D52)</f>
        <v>16</v>
      </c>
      <c r="E58" s="439">
        <f>SUM(E27+E30+E33+E39+E43+E48+E52)</f>
        <v>13</v>
      </c>
      <c r="F58" s="439">
        <f>SUM(4.5+F30+F33+F39+F43+F48+F52+F57)</f>
        <v>60</v>
      </c>
      <c r="G58" s="439">
        <f>SUM(Q27+R27+G30+G33+G39+G43+G48+G52+G57)</f>
        <v>1440</v>
      </c>
      <c r="H58" s="439">
        <f>SUM(H27+H30+H33+H39+H43+H48+H52+72)</f>
        <v>302</v>
      </c>
      <c r="I58" s="439">
        <f>SUM(108+I30+I33+I39+I43+I48+I52)</f>
        <v>202</v>
      </c>
      <c r="J58" s="439">
        <f>SUM(J27+J30+J33+J39+J43+J48)</f>
        <v>0</v>
      </c>
      <c r="K58" s="439">
        <f>SUM(K27+K30+K33+K39+K43+K48)</f>
        <v>0</v>
      </c>
      <c r="L58" s="439">
        <f>SUM(L27+L30+L33+L39+L43+L48)</f>
        <v>0</v>
      </c>
      <c r="M58" s="439">
        <f>SUM(M27+M30+M33+M39+M43+M48+M52)</f>
        <v>936</v>
      </c>
      <c r="N58" s="439"/>
      <c r="O58" s="439">
        <f>SUM(O27+O30+O33+O39+O43+O48)</f>
        <v>0</v>
      </c>
      <c r="P58" s="439">
        <f>SUM(P27+P30+P33+P39+P43+P48)</f>
        <v>0</v>
      </c>
      <c r="Q58" s="439">
        <f>SUM(Q27+Q30+Q33+Q39+Q43+Q48+Q52+Q57)</f>
        <v>828</v>
      </c>
      <c r="R58" s="439">
        <f>SUM(R27+R30+R33+R39+R43+R48+R52+R57)</f>
        <v>612</v>
      </c>
      <c r="S58" s="440">
        <f>SUM(S27+S30+S33+S39+S43+S48+S57)</f>
        <v>42</v>
      </c>
      <c r="T58" s="440">
        <f>SUM(T27+T30+T33+T39+T43+T48+T57)</f>
        <v>66</v>
      </c>
      <c r="U58" s="440">
        <f>SUM(U27+U30+U33+U39+U43+U48+U57)</f>
        <v>36</v>
      </c>
      <c r="V58" s="440">
        <f>SUM(V27+V30+V33+V39+V43+V48+V57)</f>
        <v>24</v>
      </c>
      <c r="X58" s="152">
        <f>SUM(Q58:R58)</f>
        <v>1440</v>
      </c>
      <c r="Y58" s="257"/>
      <c r="Z58" s="173">
        <f>SUM(H58:N58)-180</f>
        <v>1260</v>
      </c>
      <c r="AA58" s="173"/>
      <c r="AB58" s="173"/>
      <c r="AC58" s="173"/>
      <c r="AD58" s="173"/>
      <c r="AE58" s="173"/>
      <c r="AF58" s="173"/>
      <c r="AG58" s="173"/>
      <c r="AH58" s="173"/>
      <c r="AI58" s="173"/>
    </row>
    <row r="59" spans="1:35" s="218" customFormat="1" ht="29.25" customHeight="1" outlineLevel="2" x14ac:dyDescent="0.3">
      <c r="A59" s="479" t="s">
        <v>543</v>
      </c>
      <c r="B59" s="212" t="s">
        <v>544</v>
      </c>
      <c r="C59" s="433">
        <f>COUNT(C60:C61)</f>
        <v>0</v>
      </c>
      <c r="D59" s="433">
        <f>COUNT(D60:D61)</f>
        <v>1</v>
      </c>
      <c r="E59" s="433">
        <f>COUNT(E60:E61)</f>
        <v>2</v>
      </c>
      <c r="F59" s="433">
        <f t="shared" ref="F59:V59" si="21">SUM(F60:F61)</f>
        <v>8</v>
      </c>
      <c r="G59" s="433">
        <f t="shared" si="21"/>
        <v>192</v>
      </c>
      <c r="H59" s="433">
        <f t="shared" si="21"/>
        <v>12</v>
      </c>
      <c r="I59" s="433">
        <f t="shared" si="21"/>
        <v>0</v>
      </c>
      <c r="J59" s="433">
        <f t="shared" si="21"/>
        <v>0</v>
      </c>
      <c r="K59" s="433">
        <f t="shared" si="21"/>
        <v>0</v>
      </c>
      <c r="L59" s="433">
        <f t="shared" si="21"/>
        <v>0</v>
      </c>
      <c r="M59" s="433">
        <f t="shared" si="21"/>
        <v>180</v>
      </c>
      <c r="N59" s="433">
        <f t="shared" si="21"/>
        <v>0</v>
      </c>
      <c r="O59" s="433">
        <f t="shared" si="21"/>
        <v>0</v>
      </c>
      <c r="P59" s="433">
        <f t="shared" si="21"/>
        <v>0</v>
      </c>
      <c r="Q59" s="433">
        <f t="shared" si="21"/>
        <v>0</v>
      </c>
      <c r="R59" s="433">
        <f t="shared" si="21"/>
        <v>0</v>
      </c>
      <c r="S59" s="433">
        <f t="shared" si="21"/>
        <v>102</v>
      </c>
      <c r="T59" s="433">
        <f t="shared" si="21"/>
        <v>90</v>
      </c>
      <c r="U59" s="433">
        <f t="shared" si="21"/>
        <v>0</v>
      </c>
      <c r="V59" s="433">
        <f t="shared" si="21"/>
        <v>0</v>
      </c>
      <c r="W59" s="163"/>
      <c r="X59" s="151">
        <f t="shared" si="7"/>
        <v>192</v>
      </c>
      <c r="Y59" s="216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</row>
    <row r="60" spans="1:35" s="153" customFormat="1" ht="39.6" outlineLevel="2" x14ac:dyDescent="0.3">
      <c r="A60" s="477" t="s">
        <v>720</v>
      </c>
      <c r="B60" s="186" t="s">
        <v>728</v>
      </c>
      <c r="C60" s="411"/>
      <c r="D60" s="412"/>
      <c r="E60" s="412">
        <v>2</v>
      </c>
      <c r="F60" s="412">
        <f t="shared" ref="F60:F61" si="22">G60/24</f>
        <v>1.5</v>
      </c>
      <c r="G60" s="357">
        <v>36</v>
      </c>
      <c r="H60" s="413"/>
      <c r="I60" s="412"/>
      <c r="J60" s="312"/>
      <c r="K60" s="413"/>
      <c r="L60" s="413"/>
      <c r="M60" s="413">
        <v>36</v>
      </c>
      <c r="N60" s="312"/>
      <c r="O60" s="414"/>
      <c r="P60" s="414"/>
      <c r="Q60" s="411"/>
      <c r="R60" s="412"/>
      <c r="S60" s="312">
        <v>36</v>
      </c>
      <c r="T60" s="312"/>
      <c r="U60" s="312"/>
      <c r="V60" s="312"/>
      <c r="W60" s="150"/>
      <c r="X60" s="151">
        <f t="shared" si="7"/>
        <v>36</v>
      </c>
      <c r="Y60" s="152"/>
      <c r="Z60" s="151">
        <f t="shared" ref="Z60:Z79" si="23">SUM(H60:J60)+M60</f>
        <v>36</v>
      </c>
      <c r="AA60" s="151"/>
      <c r="AB60" s="151"/>
      <c r="AC60" s="151"/>
      <c r="AD60" s="151"/>
      <c r="AE60" s="151"/>
      <c r="AF60" s="151"/>
      <c r="AG60" s="151"/>
      <c r="AH60" s="151"/>
      <c r="AI60" s="151"/>
    </row>
    <row r="61" spans="1:35" s="153" customFormat="1" ht="26.4" outlineLevel="2" x14ac:dyDescent="0.3">
      <c r="A61" s="477" t="s">
        <v>721</v>
      </c>
      <c r="B61" s="186" t="s">
        <v>727</v>
      </c>
      <c r="C61" s="411"/>
      <c r="D61" s="412">
        <v>6</v>
      </c>
      <c r="E61" s="412">
        <v>2</v>
      </c>
      <c r="F61" s="412">
        <f t="shared" si="22"/>
        <v>6.5</v>
      </c>
      <c r="G61" s="357">
        <v>156</v>
      </c>
      <c r="H61" s="413">
        <v>12</v>
      </c>
      <c r="I61" s="412"/>
      <c r="J61" s="312"/>
      <c r="K61" s="413"/>
      <c r="L61" s="413"/>
      <c r="M61" s="413">
        <v>144</v>
      </c>
      <c r="N61" s="312"/>
      <c r="O61" s="414"/>
      <c r="P61" s="414"/>
      <c r="Q61" s="411"/>
      <c r="R61" s="412"/>
      <c r="S61" s="312">
        <v>66</v>
      </c>
      <c r="T61" s="312">
        <v>90</v>
      </c>
      <c r="U61" s="312"/>
      <c r="V61" s="312"/>
      <c r="W61" s="259"/>
      <c r="X61" s="151">
        <f t="shared" si="7"/>
        <v>156</v>
      </c>
      <c r="Y61" s="152"/>
      <c r="Z61" s="151">
        <f t="shared" si="23"/>
        <v>156</v>
      </c>
      <c r="AA61" s="151"/>
      <c r="AB61" s="151"/>
      <c r="AC61" s="151"/>
      <c r="AD61" s="151"/>
      <c r="AE61" s="151"/>
      <c r="AF61" s="151"/>
      <c r="AG61" s="151"/>
      <c r="AH61" s="151"/>
      <c r="AI61" s="151"/>
    </row>
    <row r="62" spans="1:35" s="218" customFormat="1" ht="39.6" outlineLevel="2" x14ac:dyDescent="0.3">
      <c r="A62" s="480" t="s">
        <v>558</v>
      </c>
      <c r="B62" s="212" t="s">
        <v>559</v>
      </c>
      <c r="C62" s="433">
        <f>COUNT(C63:C66)</f>
        <v>1</v>
      </c>
      <c r="D62" s="433">
        <f>COUNT(D63:D66)</f>
        <v>2</v>
      </c>
      <c r="E62" s="433">
        <f>COUNT(E63:E66)</f>
        <v>2</v>
      </c>
      <c r="F62" s="429">
        <f>SUM(F63:F66)</f>
        <v>17</v>
      </c>
      <c r="G62" s="429">
        <f>SUM(G63:G66)</f>
        <v>408</v>
      </c>
      <c r="H62" s="429">
        <f t="shared" ref="H62:M62" si="24">SUM(H63:H66)</f>
        <v>54</v>
      </c>
      <c r="I62" s="429">
        <f t="shared" si="24"/>
        <v>0</v>
      </c>
      <c r="J62" s="429">
        <f t="shared" si="24"/>
        <v>30</v>
      </c>
      <c r="K62" s="429">
        <f t="shared" si="24"/>
        <v>0</v>
      </c>
      <c r="L62" s="429">
        <f t="shared" si="24"/>
        <v>0</v>
      </c>
      <c r="M62" s="429">
        <f t="shared" si="24"/>
        <v>324</v>
      </c>
      <c r="N62" s="429"/>
      <c r="O62" s="429">
        <f t="shared" ref="O62:V62" si="25">SUM(O63:O66)</f>
        <v>0</v>
      </c>
      <c r="P62" s="429">
        <f t="shared" si="25"/>
        <v>0</v>
      </c>
      <c r="Q62" s="429">
        <f t="shared" si="25"/>
        <v>0</v>
      </c>
      <c r="R62" s="429">
        <f t="shared" si="25"/>
        <v>0</v>
      </c>
      <c r="S62" s="429">
        <f t="shared" si="25"/>
        <v>408</v>
      </c>
      <c r="T62" s="429">
        <f t="shared" si="25"/>
        <v>0</v>
      </c>
      <c r="U62" s="429">
        <f t="shared" si="25"/>
        <v>0</v>
      </c>
      <c r="V62" s="429">
        <f t="shared" si="25"/>
        <v>0</v>
      </c>
      <c r="W62" s="163"/>
      <c r="X62" s="151">
        <f t="shared" si="7"/>
        <v>408</v>
      </c>
      <c r="Y62" s="216"/>
      <c r="Z62" s="151">
        <f t="shared" si="23"/>
        <v>408</v>
      </c>
      <c r="AA62" s="217"/>
      <c r="AB62" s="217"/>
      <c r="AC62" s="217"/>
      <c r="AD62" s="217"/>
      <c r="AE62" s="217"/>
      <c r="AF62" s="217"/>
      <c r="AG62" s="217"/>
      <c r="AH62" s="217"/>
      <c r="AI62" s="217"/>
    </row>
    <row r="63" spans="1:35" s="153" customFormat="1" ht="40.5" customHeight="1" outlineLevel="2" x14ac:dyDescent="0.3">
      <c r="A63" s="477" t="s">
        <v>729</v>
      </c>
      <c r="B63" s="186" t="s">
        <v>733</v>
      </c>
      <c r="C63" s="425"/>
      <c r="D63" s="312"/>
      <c r="E63" s="312"/>
      <c r="F63" s="312">
        <f>G63/24</f>
        <v>5</v>
      </c>
      <c r="G63" s="353">
        <v>120</v>
      </c>
      <c r="H63" s="359">
        <v>18</v>
      </c>
      <c r="I63" s="312"/>
      <c r="J63" s="359">
        <v>30</v>
      </c>
      <c r="K63" s="312"/>
      <c r="L63" s="359"/>
      <c r="M63" s="359">
        <v>72</v>
      </c>
      <c r="N63" s="312"/>
      <c r="O63" s="441"/>
      <c r="P63" s="441"/>
      <c r="Q63" s="425"/>
      <c r="R63" s="312"/>
      <c r="S63" s="312">
        <v>120</v>
      </c>
      <c r="T63" s="312"/>
      <c r="U63" s="312"/>
      <c r="V63" s="393"/>
      <c r="W63" s="150"/>
      <c r="X63" s="151">
        <f t="shared" si="7"/>
        <v>120</v>
      </c>
      <c r="Y63" s="152"/>
      <c r="Z63" s="151">
        <f t="shared" si="23"/>
        <v>120</v>
      </c>
      <c r="AA63" s="151"/>
      <c r="AB63" s="151"/>
      <c r="AC63" s="151"/>
      <c r="AD63" s="151"/>
      <c r="AE63" s="151"/>
      <c r="AF63" s="151"/>
      <c r="AG63" s="151"/>
      <c r="AH63" s="151"/>
      <c r="AI63" s="151"/>
    </row>
    <row r="64" spans="1:35" s="153" customFormat="1" ht="41.25" customHeight="1" outlineLevel="2" x14ac:dyDescent="0.3">
      <c r="A64" s="477" t="s">
        <v>730</v>
      </c>
      <c r="B64" s="186" t="s">
        <v>734</v>
      </c>
      <c r="C64" s="425"/>
      <c r="D64" s="312"/>
      <c r="E64" s="312"/>
      <c r="F64" s="312">
        <f t="shared" ref="F64:F65" si="26">G64/24</f>
        <v>5</v>
      </c>
      <c r="G64" s="353">
        <v>120</v>
      </c>
      <c r="H64" s="359">
        <v>12</v>
      </c>
      <c r="I64" s="312"/>
      <c r="J64" s="359"/>
      <c r="K64" s="312"/>
      <c r="L64" s="359"/>
      <c r="M64" s="359">
        <v>108</v>
      </c>
      <c r="N64" s="312"/>
      <c r="O64" s="441"/>
      <c r="P64" s="441"/>
      <c r="Q64" s="425"/>
      <c r="R64" s="312"/>
      <c r="S64" s="312">
        <v>120</v>
      </c>
      <c r="T64" s="312"/>
      <c r="U64" s="312"/>
      <c r="V64" s="393"/>
      <c r="W64" s="150"/>
      <c r="X64" s="151">
        <f t="shared" si="7"/>
        <v>120</v>
      </c>
      <c r="Y64" s="152"/>
      <c r="Z64" s="151">
        <f t="shared" si="23"/>
        <v>120</v>
      </c>
      <c r="AA64" s="151"/>
      <c r="AB64" s="151"/>
      <c r="AC64" s="151"/>
      <c r="AD64" s="151"/>
      <c r="AE64" s="151"/>
      <c r="AF64" s="151"/>
      <c r="AG64" s="151"/>
      <c r="AH64" s="151"/>
      <c r="AI64" s="151"/>
    </row>
    <row r="65" spans="1:35" s="153" customFormat="1" ht="39.6" outlineLevel="2" x14ac:dyDescent="0.3">
      <c r="A65" s="477" t="s">
        <v>731</v>
      </c>
      <c r="B65" s="186" t="s">
        <v>735</v>
      </c>
      <c r="C65" s="425">
        <v>5</v>
      </c>
      <c r="D65" s="312">
        <v>5</v>
      </c>
      <c r="E65" s="312">
        <v>2</v>
      </c>
      <c r="F65" s="312">
        <f t="shared" si="26"/>
        <v>5</v>
      </c>
      <c r="G65" s="353">
        <v>120</v>
      </c>
      <c r="H65" s="359">
        <v>12</v>
      </c>
      <c r="I65" s="312"/>
      <c r="J65" s="359"/>
      <c r="K65" s="312"/>
      <c r="L65" s="359"/>
      <c r="M65" s="359">
        <v>108</v>
      </c>
      <c r="N65" s="312"/>
      <c r="O65" s="441"/>
      <c r="P65" s="441"/>
      <c r="Q65" s="425"/>
      <c r="R65" s="312"/>
      <c r="S65" s="312">
        <v>120</v>
      </c>
      <c r="T65" s="312"/>
      <c r="U65" s="312"/>
      <c r="V65" s="393"/>
      <c r="W65" s="150"/>
      <c r="X65" s="151">
        <f t="shared" si="7"/>
        <v>120</v>
      </c>
      <c r="Y65" s="152"/>
      <c r="Z65" s="151">
        <f t="shared" si="23"/>
        <v>120</v>
      </c>
      <c r="AA65" s="151"/>
      <c r="AB65" s="151"/>
      <c r="AC65" s="151"/>
      <c r="AD65" s="151"/>
      <c r="AE65" s="151"/>
      <c r="AF65" s="151"/>
      <c r="AG65" s="151"/>
      <c r="AH65" s="151"/>
      <c r="AI65" s="151"/>
    </row>
    <row r="66" spans="1:35" s="153" customFormat="1" ht="27.75" customHeight="1" outlineLevel="2" x14ac:dyDescent="0.3">
      <c r="A66" s="477" t="s">
        <v>732</v>
      </c>
      <c r="B66" s="186" t="s">
        <v>736</v>
      </c>
      <c r="C66" s="411"/>
      <c r="D66" s="412">
        <v>5</v>
      </c>
      <c r="E66" s="412">
        <v>2</v>
      </c>
      <c r="F66" s="312">
        <f t="shared" ref="F66" si="27">G66/24</f>
        <v>2</v>
      </c>
      <c r="G66" s="353">
        <v>48</v>
      </c>
      <c r="H66" s="359">
        <v>12</v>
      </c>
      <c r="I66" s="312"/>
      <c r="J66" s="413"/>
      <c r="K66" s="312"/>
      <c r="L66" s="413"/>
      <c r="M66" s="359">
        <v>36</v>
      </c>
      <c r="N66" s="312"/>
      <c r="O66" s="441"/>
      <c r="P66" s="441"/>
      <c r="Q66" s="425"/>
      <c r="R66" s="312"/>
      <c r="S66" s="312">
        <v>48</v>
      </c>
      <c r="T66" s="312"/>
      <c r="U66" s="312"/>
      <c r="V66" s="393"/>
      <c r="W66" s="150"/>
      <c r="X66" s="151">
        <f t="shared" si="7"/>
        <v>48</v>
      </c>
      <c r="Y66" s="152"/>
      <c r="Z66" s="151">
        <f t="shared" si="23"/>
        <v>48</v>
      </c>
      <c r="AA66" s="151"/>
      <c r="AB66" s="151"/>
      <c r="AC66" s="151"/>
      <c r="AD66" s="151"/>
      <c r="AE66" s="151"/>
      <c r="AF66" s="151"/>
      <c r="AG66" s="151"/>
      <c r="AH66" s="151"/>
      <c r="AI66" s="151"/>
    </row>
    <row r="67" spans="1:35" s="218" customFormat="1" ht="26.4" outlineLevel="2" x14ac:dyDescent="0.3">
      <c r="A67" s="479" t="s">
        <v>565</v>
      </c>
      <c r="B67" s="212" t="s">
        <v>566</v>
      </c>
      <c r="C67" s="433">
        <f>COUNT(C68:C71)</f>
        <v>1</v>
      </c>
      <c r="D67" s="433">
        <f>COUNT(D68:D71)</f>
        <v>3</v>
      </c>
      <c r="E67" s="433">
        <f>COUNT(E68:E71)</f>
        <v>3</v>
      </c>
      <c r="F67" s="429">
        <f t="shared" ref="F67:V67" si="28">SUM(F68:F71)</f>
        <v>10.5</v>
      </c>
      <c r="G67" s="429">
        <f t="shared" si="28"/>
        <v>252</v>
      </c>
      <c r="H67" s="429">
        <f t="shared" si="28"/>
        <v>48</v>
      </c>
      <c r="I67" s="429">
        <f t="shared" si="28"/>
        <v>0</v>
      </c>
      <c r="J67" s="429">
        <f t="shared" si="28"/>
        <v>0</v>
      </c>
      <c r="K67" s="429">
        <f t="shared" si="28"/>
        <v>0</v>
      </c>
      <c r="L67" s="429">
        <f t="shared" si="28"/>
        <v>0</v>
      </c>
      <c r="M67" s="429">
        <f t="shared" si="28"/>
        <v>204</v>
      </c>
      <c r="N67" s="429"/>
      <c r="O67" s="429">
        <f t="shared" si="28"/>
        <v>0</v>
      </c>
      <c r="P67" s="429">
        <f t="shared" si="28"/>
        <v>0</v>
      </c>
      <c r="Q67" s="429">
        <f t="shared" si="28"/>
        <v>0</v>
      </c>
      <c r="R67" s="429">
        <f t="shared" si="28"/>
        <v>0</v>
      </c>
      <c r="S67" s="429">
        <f t="shared" si="28"/>
        <v>0</v>
      </c>
      <c r="T67" s="429">
        <f t="shared" si="28"/>
        <v>252</v>
      </c>
      <c r="U67" s="429">
        <f t="shared" si="28"/>
        <v>0</v>
      </c>
      <c r="V67" s="429">
        <f t="shared" si="28"/>
        <v>0</v>
      </c>
      <c r="W67" s="163"/>
      <c r="X67" s="151">
        <f>SUM(Q67:W67)</f>
        <v>252</v>
      </c>
      <c r="Y67" s="216"/>
      <c r="Z67" s="151">
        <f t="shared" si="23"/>
        <v>252</v>
      </c>
      <c r="AA67" s="217"/>
      <c r="AB67" s="217"/>
      <c r="AC67" s="217"/>
      <c r="AD67" s="217"/>
      <c r="AE67" s="217"/>
      <c r="AF67" s="217"/>
      <c r="AG67" s="217"/>
      <c r="AH67" s="217"/>
      <c r="AI67" s="217"/>
    </row>
    <row r="68" spans="1:35" s="153" customFormat="1" ht="53.25" customHeight="1" outlineLevel="2" x14ac:dyDescent="0.3">
      <c r="A68" s="477" t="s">
        <v>738</v>
      </c>
      <c r="B68" s="186" t="s">
        <v>742</v>
      </c>
      <c r="C68" s="411">
        <v>6</v>
      </c>
      <c r="D68" s="412">
        <v>6</v>
      </c>
      <c r="E68" s="412">
        <v>2</v>
      </c>
      <c r="F68" s="312">
        <f t="shared" ref="F68:F71" si="29">G68/24</f>
        <v>4</v>
      </c>
      <c r="G68" s="357">
        <v>96</v>
      </c>
      <c r="H68" s="413">
        <v>18</v>
      </c>
      <c r="I68" s="312"/>
      <c r="J68" s="312"/>
      <c r="K68" s="413"/>
      <c r="L68" s="413"/>
      <c r="M68" s="359">
        <v>72</v>
      </c>
      <c r="N68" s="312"/>
      <c r="O68" s="414"/>
      <c r="P68" s="414"/>
      <c r="Q68" s="425"/>
      <c r="R68" s="412"/>
      <c r="S68" s="312"/>
      <c r="T68" s="312">
        <v>96</v>
      </c>
      <c r="U68" s="312"/>
      <c r="V68" s="312"/>
      <c r="W68" s="150"/>
      <c r="X68" s="151">
        <f t="shared" si="7"/>
        <v>96</v>
      </c>
      <c r="Y68" s="152"/>
      <c r="Z68" s="151">
        <f t="shared" si="23"/>
        <v>90</v>
      </c>
      <c r="AA68" s="151"/>
      <c r="AB68" s="151"/>
      <c r="AC68" s="151"/>
      <c r="AD68" s="151"/>
      <c r="AE68" s="151"/>
      <c r="AF68" s="151"/>
      <c r="AG68" s="151"/>
      <c r="AH68" s="151"/>
      <c r="AI68" s="151"/>
    </row>
    <row r="69" spans="1:35" s="153" customFormat="1" ht="26.4" outlineLevel="2" x14ac:dyDescent="0.3">
      <c r="A69" s="477" t="s">
        <v>741</v>
      </c>
      <c r="B69" s="186" t="s">
        <v>743</v>
      </c>
      <c r="C69" s="425"/>
      <c r="D69" s="312"/>
      <c r="E69" s="312"/>
      <c r="F69" s="312">
        <f t="shared" si="29"/>
        <v>3.5</v>
      </c>
      <c r="G69" s="312">
        <v>84</v>
      </c>
      <c r="H69" s="312">
        <v>18</v>
      </c>
      <c r="I69" s="312"/>
      <c r="J69" s="312"/>
      <c r="K69" s="312"/>
      <c r="L69" s="312"/>
      <c r="M69" s="312">
        <v>72</v>
      </c>
      <c r="N69" s="312"/>
      <c r="O69" s="312"/>
      <c r="P69" s="312"/>
      <c r="Q69" s="312"/>
      <c r="R69" s="312"/>
      <c r="S69" s="312"/>
      <c r="T69" s="312">
        <v>84</v>
      </c>
      <c r="U69" s="312"/>
      <c r="V69" s="312"/>
      <c r="W69" s="150"/>
      <c r="X69" s="151">
        <f t="shared" si="7"/>
        <v>84</v>
      </c>
      <c r="Y69" s="152"/>
      <c r="Z69" s="151">
        <f>SUM(H70:J70)+M70</f>
        <v>36</v>
      </c>
      <c r="AA69" s="151"/>
      <c r="AB69" s="151"/>
      <c r="AC69" s="151"/>
      <c r="AD69" s="151"/>
      <c r="AE69" s="151"/>
      <c r="AF69" s="151"/>
      <c r="AG69" s="151"/>
      <c r="AH69" s="151"/>
      <c r="AI69" s="151"/>
    </row>
    <row r="70" spans="1:35" s="153" customFormat="1" ht="30" customHeight="1" outlineLevel="2" x14ac:dyDescent="0.3">
      <c r="A70" s="477" t="s">
        <v>739</v>
      </c>
      <c r="B70" s="186" t="s">
        <v>744</v>
      </c>
      <c r="C70" s="425"/>
      <c r="D70" s="312">
        <v>6</v>
      </c>
      <c r="E70" s="312">
        <v>1</v>
      </c>
      <c r="F70" s="312">
        <f>G70/24</f>
        <v>1.5</v>
      </c>
      <c r="G70" s="353">
        <v>36</v>
      </c>
      <c r="H70" s="359">
        <v>12</v>
      </c>
      <c r="I70" s="312"/>
      <c r="J70" s="312"/>
      <c r="K70" s="359"/>
      <c r="L70" s="359"/>
      <c r="M70" s="359">
        <v>24</v>
      </c>
      <c r="N70" s="312"/>
      <c r="O70" s="441"/>
      <c r="P70" s="441"/>
      <c r="Q70" s="425"/>
      <c r="R70" s="312"/>
      <c r="S70" s="312"/>
      <c r="T70" s="312">
        <v>36</v>
      </c>
      <c r="U70" s="312"/>
      <c r="V70" s="312"/>
      <c r="W70" s="150"/>
      <c r="X70" s="151"/>
      <c r="Y70" s="152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</row>
    <row r="71" spans="1:35" s="153" customFormat="1" ht="27.75" customHeight="1" outlineLevel="2" x14ac:dyDescent="0.3">
      <c r="A71" s="477" t="s">
        <v>740</v>
      </c>
      <c r="B71" s="186" t="s">
        <v>745</v>
      </c>
      <c r="C71" s="425"/>
      <c r="D71" s="312">
        <v>6</v>
      </c>
      <c r="E71" s="312">
        <v>1</v>
      </c>
      <c r="F71" s="312">
        <f t="shared" si="29"/>
        <v>1.5</v>
      </c>
      <c r="G71" s="353">
        <v>36</v>
      </c>
      <c r="H71" s="359"/>
      <c r="I71" s="312"/>
      <c r="J71" s="312"/>
      <c r="K71" s="359"/>
      <c r="L71" s="359"/>
      <c r="M71" s="359">
        <v>36</v>
      </c>
      <c r="N71" s="312"/>
      <c r="O71" s="441"/>
      <c r="P71" s="441"/>
      <c r="Q71" s="425"/>
      <c r="R71" s="312"/>
      <c r="S71" s="312"/>
      <c r="T71" s="312">
        <v>36</v>
      </c>
      <c r="U71" s="312"/>
      <c r="V71" s="312"/>
      <c r="W71" s="259"/>
      <c r="X71" s="151">
        <f t="shared" si="7"/>
        <v>36</v>
      </c>
      <c r="Y71" s="152"/>
      <c r="Z71" s="151">
        <f t="shared" si="23"/>
        <v>36</v>
      </c>
      <c r="AA71" s="151"/>
      <c r="AB71" s="151"/>
      <c r="AC71" s="151"/>
      <c r="AD71" s="151"/>
      <c r="AE71" s="151"/>
      <c r="AF71" s="151"/>
      <c r="AG71" s="151"/>
      <c r="AH71" s="151"/>
      <c r="AI71" s="151"/>
    </row>
    <row r="72" spans="1:35" s="218" customFormat="1" ht="29.25" customHeight="1" outlineLevel="2" x14ac:dyDescent="0.3">
      <c r="A72" s="479" t="s">
        <v>573</v>
      </c>
      <c r="B72" s="212" t="s">
        <v>574</v>
      </c>
      <c r="C72" s="433">
        <f>COUNT(C73:C78)</f>
        <v>0</v>
      </c>
      <c r="D72" s="433">
        <f>COUNT(D73:D78)</f>
        <v>1</v>
      </c>
      <c r="E72" s="433">
        <f>COUNT(E73:E78)</f>
        <v>0</v>
      </c>
      <c r="F72" s="429">
        <f>SUM(F73:F78)</f>
        <v>3</v>
      </c>
      <c r="G72" s="429">
        <f t="shared" ref="G72:V72" si="30">SUM(G73:G78)</f>
        <v>72</v>
      </c>
      <c r="H72" s="429">
        <f t="shared" si="30"/>
        <v>0</v>
      </c>
      <c r="I72" s="429">
        <f t="shared" si="30"/>
        <v>0</v>
      </c>
      <c r="J72" s="429">
        <f t="shared" si="30"/>
        <v>0</v>
      </c>
      <c r="K72" s="429">
        <f t="shared" si="30"/>
        <v>0</v>
      </c>
      <c r="L72" s="429">
        <f t="shared" si="30"/>
        <v>0</v>
      </c>
      <c r="M72" s="429">
        <f t="shared" si="30"/>
        <v>72</v>
      </c>
      <c r="N72" s="429">
        <f t="shared" si="30"/>
        <v>0</v>
      </c>
      <c r="O72" s="429">
        <f t="shared" si="30"/>
        <v>0</v>
      </c>
      <c r="P72" s="429">
        <f t="shared" si="30"/>
        <v>0</v>
      </c>
      <c r="Q72" s="429">
        <f t="shared" si="30"/>
        <v>0</v>
      </c>
      <c r="R72" s="429">
        <f t="shared" si="30"/>
        <v>0</v>
      </c>
      <c r="S72" s="429">
        <f t="shared" si="30"/>
        <v>24</v>
      </c>
      <c r="T72" s="429">
        <f t="shared" si="30"/>
        <v>48</v>
      </c>
      <c r="U72" s="429">
        <f t="shared" si="30"/>
        <v>0</v>
      </c>
      <c r="V72" s="429">
        <f t="shared" si="30"/>
        <v>0</v>
      </c>
      <c r="W72" s="163"/>
      <c r="X72" s="151">
        <f t="shared" si="7"/>
        <v>72</v>
      </c>
      <c r="Y72" s="216"/>
      <c r="Z72" s="151">
        <f t="shared" si="23"/>
        <v>72</v>
      </c>
      <c r="AA72" s="217"/>
      <c r="AB72" s="217"/>
      <c r="AC72" s="217"/>
      <c r="AD72" s="217"/>
      <c r="AE72" s="217"/>
      <c r="AF72" s="217"/>
      <c r="AG72" s="217"/>
      <c r="AH72" s="217"/>
      <c r="AI72" s="217"/>
    </row>
    <row r="73" spans="1:35" s="153" customFormat="1" ht="40.5" customHeight="1" outlineLevel="2" x14ac:dyDescent="0.3">
      <c r="A73" s="477" t="s">
        <v>752</v>
      </c>
      <c r="B73" s="186" t="s">
        <v>746</v>
      </c>
      <c r="C73" s="425"/>
      <c r="D73" s="312"/>
      <c r="E73" s="312"/>
      <c r="F73" s="312">
        <f t="shared" ref="F73:F78" si="31">G73/24</f>
        <v>0.5</v>
      </c>
      <c r="G73" s="353">
        <v>12</v>
      </c>
      <c r="H73" s="359"/>
      <c r="I73" s="312"/>
      <c r="J73" s="312"/>
      <c r="K73" s="359"/>
      <c r="L73" s="359"/>
      <c r="M73" s="359">
        <v>12</v>
      </c>
      <c r="N73" s="359"/>
      <c r="O73" s="441"/>
      <c r="P73" s="441"/>
      <c r="Q73" s="425"/>
      <c r="R73" s="312"/>
      <c r="S73" s="312">
        <v>4</v>
      </c>
      <c r="T73" s="312">
        <v>8</v>
      </c>
      <c r="U73" s="312"/>
      <c r="V73" s="312"/>
      <c r="W73" s="259"/>
      <c r="X73" s="151">
        <f t="shared" si="7"/>
        <v>12</v>
      </c>
      <c r="Y73" s="152"/>
      <c r="Z73" s="151">
        <f t="shared" si="23"/>
        <v>12</v>
      </c>
      <c r="AA73" s="151"/>
      <c r="AB73" s="151"/>
      <c r="AC73" s="151"/>
      <c r="AD73" s="151"/>
      <c r="AE73" s="151"/>
      <c r="AF73" s="151"/>
      <c r="AG73" s="151"/>
      <c r="AH73" s="151"/>
      <c r="AI73" s="151"/>
    </row>
    <row r="74" spans="1:35" s="153" customFormat="1" ht="41.25" customHeight="1" outlineLevel="2" x14ac:dyDescent="0.3">
      <c r="A74" s="477" t="s">
        <v>753</v>
      </c>
      <c r="B74" s="186" t="s">
        <v>747</v>
      </c>
      <c r="C74" s="425"/>
      <c r="D74" s="312"/>
      <c r="E74" s="312"/>
      <c r="F74" s="312">
        <f t="shared" si="31"/>
        <v>0.5</v>
      </c>
      <c r="G74" s="353">
        <v>12</v>
      </c>
      <c r="H74" s="359"/>
      <c r="I74" s="312"/>
      <c r="J74" s="312"/>
      <c r="K74" s="359"/>
      <c r="L74" s="359"/>
      <c r="M74" s="359">
        <v>12</v>
      </c>
      <c r="N74" s="359"/>
      <c r="O74" s="441"/>
      <c r="P74" s="441"/>
      <c r="Q74" s="425"/>
      <c r="R74" s="312"/>
      <c r="S74" s="312">
        <v>4</v>
      </c>
      <c r="T74" s="312">
        <v>8</v>
      </c>
      <c r="U74" s="312"/>
      <c r="V74" s="312"/>
      <c r="W74" s="259"/>
      <c r="X74" s="151">
        <f t="shared" si="7"/>
        <v>12</v>
      </c>
      <c r="Y74" s="152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</row>
    <row r="75" spans="1:35" s="153" customFormat="1" ht="40.200000000000003" customHeight="1" outlineLevel="2" x14ac:dyDescent="0.3">
      <c r="A75" s="477" t="s">
        <v>754</v>
      </c>
      <c r="B75" s="186" t="s">
        <v>748</v>
      </c>
      <c r="C75" s="425"/>
      <c r="D75" s="312"/>
      <c r="E75" s="312"/>
      <c r="F75" s="312">
        <f t="shared" si="31"/>
        <v>0.5</v>
      </c>
      <c r="G75" s="353">
        <v>12</v>
      </c>
      <c r="H75" s="359"/>
      <c r="I75" s="312"/>
      <c r="J75" s="312"/>
      <c r="K75" s="359"/>
      <c r="L75" s="359"/>
      <c r="M75" s="359">
        <v>12</v>
      </c>
      <c r="N75" s="359"/>
      <c r="O75" s="441"/>
      <c r="P75" s="441"/>
      <c r="Q75" s="425"/>
      <c r="R75" s="312"/>
      <c r="S75" s="312">
        <v>4</v>
      </c>
      <c r="T75" s="312">
        <v>8</v>
      </c>
      <c r="U75" s="312"/>
      <c r="V75" s="312"/>
      <c r="W75" s="259"/>
      <c r="X75" s="151">
        <f t="shared" si="7"/>
        <v>12</v>
      </c>
      <c r="Y75" s="152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</row>
    <row r="76" spans="1:35" s="153" customFormat="1" ht="22.5" customHeight="1" outlineLevel="2" x14ac:dyDescent="0.3">
      <c r="A76" s="477" t="s">
        <v>755</v>
      </c>
      <c r="B76" s="186" t="s">
        <v>749</v>
      </c>
      <c r="C76" s="425"/>
      <c r="D76" s="312"/>
      <c r="E76" s="312"/>
      <c r="F76" s="312">
        <f t="shared" si="31"/>
        <v>0.5</v>
      </c>
      <c r="G76" s="353">
        <v>12</v>
      </c>
      <c r="H76" s="359"/>
      <c r="I76" s="312"/>
      <c r="J76" s="312"/>
      <c r="K76" s="359"/>
      <c r="L76" s="359"/>
      <c r="M76" s="359">
        <v>12</v>
      </c>
      <c r="N76" s="359"/>
      <c r="O76" s="441"/>
      <c r="P76" s="441"/>
      <c r="Q76" s="425"/>
      <c r="R76" s="312"/>
      <c r="S76" s="312">
        <v>4</v>
      </c>
      <c r="T76" s="312">
        <v>8</v>
      </c>
      <c r="U76" s="312"/>
      <c r="V76" s="312"/>
      <c r="W76" s="259"/>
      <c r="X76" s="151">
        <f t="shared" si="7"/>
        <v>12</v>
      </c>
      <c r="Y76" s="152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</row>
    <row r="77" spans="1:35" s="153" customFormat="1" ht="40.5" customHeight="1" outlineLevel="2" x14ac:dyDescent="0.3">
      <c r="A77" s="477" t="s">
        <v>756</v>
      </c>
      <c r="B77" s="186" t="s">
        <v>750</v>
      </c>
      <c r="C77" s="425"/>
      <c r="D77" s="312"/>
      <c r="E77" s="312"/>
      <c r="F77" s="312">
        <f t="shared" si="31"/>
        <v>0.5</v>
      </c>
      <c r="G77" s="353">
        <v>12</v>
      </c>
      <c r="H77" s="359"/>
      <c r="I77" s="312"/>
      <c r="J77" s="312"/>
      <c r="K77" s="359"/>
      <c r="L77" s="359"/>
      <c r="M77" s="359">
        <v>12</v>
      </c>
      <c r="N77" s="359"/>
      <c r="O77" s="441"/>
      <c r="P77" s="441"/>
      <c r="Q77" s="425"/>
      <c r="R77" s="312"/>
      <c r="S77" s="312">
        <v>4</v>
      </c>
      <c r="T77" s="312">
        <v>8</v>
      </c>
      <c r="U77" s="312"/>
      <c r="V77" s="312"/>
      <c r="W77" s="259"/>
      <c r="X77" s="151">
        <f t="shared" si="7"/>
        <v>12</v>
      </c>
      <c r="Y77" s="152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</row>
    <row r="78" spans="1:35" s="153" customFormat="1" ht="30" customHeight="1" outlineLevel="2" x14ac:dyDescent="0.3">
      <c r="A78" s="477" t="s">
        <v>757</v>
      </c>
      <c r="B78" s="186" t="s">
        <v>751</v>
      </c>
      <c r="C78" s="425"/>
      <c r="D78" s="312">
        <v>6</v>
      </c>
      <c r="E78" s="312"/>
      <c r="F78" s="312">
        <f t="shared" si="31"/>
        <v>0.5</v>
      </c>
      <c r="G78" s="353">
        <v>12</v>
      </c>
      <c r="H78" s="359"/>
      <c r="I78" s="312"/>
      <c r="J78" s="312"/>
      <c r="K78" s="359"/>
      <c r="L78" s="359"/>
      <c r="M78" s="359">
        <v>12</v>
      </c>
      <c r="N78" s="359"/>
      <c r="O78" s="441"/>
      <c r="P78" s="441"/>
      <c r="Q78" s="425"/>
      <c r="R78" s="312"/>
      <c r="S78" s="312">
        <v>4</v>
      </c>
      <c r="T78" s="312">
        <v>8</v>
      </c>
      <c r="U78" s="312"/>
      <c r="V78" s="312"/>
      <c r="W78" s="259"/>
      <c r="X78" s="151">
        <f t="shared" si="7"/>
        <v>12</v>
      </c>
      <c r="Y78" s="152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</row>
    <row r="79" spans="1:35" s="218" customFormat="1" ht="36" customHeight="1" outlineLevel="2" x14ac:dyDescent="0.3">
      <c r="A79" s="503" t="s">
        <v>578</v>
      </c>
      <c r="B79" s="229" t="s">
        <v>579</v>
      </c>
      <c r="C79" s="433">
        <f>COUNT(C80:C83)</f>
        <v>1</v>
      </c>
      <c r="D79" s="433">
        <f t="shared" ref="D79:E79" si="32">COUNT(D80:D83)</f>
        <v>0</v>
      </c>
      <c r="E79" s="433">
        <f t="shared" si="32"/>
        <v>0</v>
      </c>
      <c r="F79" s="429">
        <f>SUM(F80:F83)</f>
        <v>9</v>
      </c>
      <c r="G79" s="429">
        <f t="shared" ref="G79:V79" si="33">SUM(G80:G83)</f>
        <v>216</v>
      </c>
      <c r="H79" s="429">
        <f t="shared" si="33"/>
        <v>0</v>
      </c>
      <c r="I79" s="429">
        <f t="shared" si="33"/>
        <v>0</v>
      </c>
      <c r="J79" s="429">
        <f t="shared" si="33"/>
        <v>0</v>
      </c>
      <c r="K79" s="429">
        <f t="shared" si="33"/>
        <v>0</v>
      </c>
      <c r="L79" s="429">
        <f t="shared" si="33"/>
        <v>0</v>
      </c>
      <c r="M79" s="429">
        <f t="shared" si="33"/>
        <v>216</v>
      </c>
      <c r="N79" s="429">
        <f t="shared" si="33"/>
        <v>0</v>
      </c>
      <c r="O79" s="429">
        <f t="shared" si="33"/>
        <v>0</v>
      </c>
      <c r="P79" s="429">
        <f t="shared" si="33"/>
        <v>0</v>
      </c>
      <c r="Q79" s="429">
        <f t="shared" si="33"/>
        <v>0</v>
      </c>
      <c r="R79" s="429">
        <f t="shared" si="33"/>
        <v>0</v>
      </c>
      <c r="S79" s="429">
        <f t="shared" si="33"/>
        <v>0</v>
      </c>
      <c r="T79" s="429">
        <f t="shared" si="33"/>
        <v>216</v>
      </c>
      <c r="U79" s="429">
        <f>SUM(U80:U83)</f>
        <v>0</v>
      </c>
      <c r="V79" s="429">
        <f t="shared" si="33"/>
        <v>0</v>
      </c>
      <c r="W79" s="163"/>
      <c r="X79" s="217"/>
      <c r="Y79" s="216"/>
      <c r="Z79" s="217">
        <f t="shared" si="23"/>
        <v>216</v>
      </c>
      <c r="AA79" s="217"/>
      <c r="AB79" s="217"/>
      <c r="AC79" s="217"/>
      <c r="AD79" s="217"/>
      <c r="AE79" s="217"/>
      <c r="AF79" s="217"/>
      <c r="AG79" s="217"/>
      <c r="AH79" s="217"/>
      <c r="AI79" s="217"/>
    </row>
    <row r="80" spans="1:35" s="153" customFormat="1" ht="41.25" customHeight="1" outlineLevel="2" x14ac:dyDescent="0.3">
      <c r="A80" s="477" t="s">
        <v>758</v>
      </c>
      <c r="B80" s="186" t="s">
        <v>762</v>
      </c>
      <c r="C80" s="425"/>
      <c r="D80" s="312"/>
      <c r="E80" s="312"/>
      <c r="F80" s="312">
        <f>G80/24</f>
        <v>2.5</v>
      </c>
      <c r="G80" s="353">
        <v>60</v>
      </c>
      <c r="H80" s="359"/>
      <c r="I80" s="312"/>
      <c r="J80" s="312"/>
      <c r="K80" s="359"/>
      <c r="L80" s="359"/>
      <c r="M80" s="359">
        <v>60</v>
      </c>
      <c r="N80" s="359"/>
      <c r="O80" s="441"/>
      <c r="P80" s="441"/>
      <c r="Q80" s="425"/>
      <c r="R80" s="312"/>
      <c r="S80" s="312"/>
      <c r="T80" s="312">
        <v>60</v>
      </c>
      <c r="U80" s="312"/>
      <c r="V80" s="312"/>
      <c r="W80" s="259"/>
      <c r="X80" s="151"/>
      <c r="Y80" s="152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</row>
    <row r="81" spans="1:35" s="153" customFormat="1" ht="26.4" outlineLevel="2" x14ac:dyDescent="0.3">
      <c r="A81" s="477" t="s">
        <v>759</v>
      </c>
      <c r="B81" s="186" t="s">
        <v>763</v>
      </c>
      <c r="C81" s="425"/>
      <c r="D81" s="425"/>
      <c r="E81" s="425"/>
      <c r="F81" s="312">
        <f>G81/24</f>
        <v>2.5</v>
      </c>
      <c r="G81" s="353">
        <v>60</v>
      </c>
      <c r="H81" s="359"/>
      <c r="I81" s="312"/>
      <c r="J81" s="312"/>
      <c r="K81" s="359"/>
      <c r="L81" s="359"/>
      <c r="M81" s="359">
        <v>60</v>
      </c>
      <c r="N81" s="359"/>
      <c r="O81" s="441"/>
      <c r="P81" s="441"/>
      <c r="Q81" s="425"/>
      <c r="R81" s="312"/>
      <c r="S81" s="312"/>
      <c r="T81" s="312">
        <v>60</v>
      </c>
      <c r="U81" s="312"/>
      <c r="V81" s="312"/>
      <c r="W81" s="259"/>
      <c r="X81" s="151"/>
      <c r="Y81" s="152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</row>
    <row r="82" spans="1:35" s="153" customFormat="1" ht="41.25" customHeight="1" outlineLevel="2" x14ac:dyDescent="0.3">
      <c r="A82" s="477" t="s">
        <v>760</v>
      </c>
      <c r="B82" s="186" t="s">
        <v>764</v>
      </c>
      <c r="C82" s="425">
        <v>6</v>
      </c>
      <c r="D82" s="425"/>
      <c r="E82" s="425"/>
      <c r="F82" s="312">
        <f>G82/24</f>
        <v>2.5</v>
      </c>
      <c r="G82" s="353">
        <v>60</v>
      </c>
      <c r="H82" s="359"/>
      <c r="I82" s="312"/>
      <c r="J82" s="312"/>
      <c r="K82" s="359"/>
      <c r="L82" s="359"/>
      <c r="M82" s="359">
        <v>60</v>
      </c>
      <c r="N82" s="359"/>
      <c r="O82" s="441"/>
      <c r="P82" s="441"/>
      <c r="Q82" s="425"/>
      <c r="R82" s="312"/>
      <c r="S82" s="312"/>
      <c r="T82" s="312">
        <v>60</v>
      </c>
      <c r="U82" s="312"/>
      <c r="V82" s="312"/>
      <c r="W82" s="259"/>
      <c r="X82" s="151"/>
      <c r="Y82" s="152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</row>
    <row r="83" spans="1:35" s="153" customFormat="1" ht="26.4" outlineLevel="2" x14ac:dyDescent="0.3">
      <c r="A83" s="477" t="s">
        <v>761</v>
      </c>
      <c r="B83" s="186" t="s">
        <v>765</v>
      </c>
      <c r="C83" s="425"/>
      <c r="D83" s="425"/>
      <c r="E83" s="425"/>
      <c r="F83" s="312">
        <f>G83/24</f>
        <v>1.5</v>
      </c>
      <c r="G83" s="353">
        <v>36</v>
      </c>
      <c r="H83" s="359"/>
      <c r="I83" s="312"/>
      <c r="J83" s="312"/>
      <c r="K83" s="359"/>
      <c r="L83" s="359"/>
      <c r="M83" s="359">
        <v>36</v>
      </c>
      <c r="N83" s="359"/>
      <c r="O83" s="441"/>
      <c r="P83" s="441"/>
      <c r="Q83" s="425"/>
      <c r="R83" s="312"/>
      <c r="S83" s="312"/>
      <c r="T83" s="312">
        <v>36</v>
      </c>
      <c r="U83" s="312"/>
      <c r="V83" s="312"/>
      <c r="W83" s="259"/>
      <c r="X83" s="151"/>
      <c r="Y83" s="152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</row>
    <row r="84" spans="1:35" s="278" customFormat="1" ht="39" customHeight="1" x14ac:dyDescent="0.3">
      <c r="A84" s="479" t="s">
        <v>583</v>
      </c>
      <c r="B84" s="276" t="s">
        <v>584</v>
      </c>
      <c r="C84" s="442">
        <f>COUNT(C85:C86)</f>
        <v>0</v>
      </c>
      <c r="D84" s="442">
        <v>3</v>
      </c>
      <c r="E84" s="442">
        <v>3</v>
      </c>
      <c r="F84" s="430">
        <f t="shared" ref="F84:M84" si="34">SUM(F85:F86)</f>
        <v>5</v>
      </c>
      <c r="G84" s="430">
        <f t="shared" si="34"/>
        <v>120</v>
      </c>
      <c r="H84" s="430">
        <f t="shared" si="34"/>
        <v>12</v>
      </c>
      <c r="I84" s="430">
        <f t="shared" si="34"/>
        <v>0</v>
      </c>
      <c r="J84" s="430">
        <f t="shared" si="34"/>
        <v>0</v>
      </c>
      <c r="K84" s="430">
        <f t="shared" si="34"/>
        <v>0</v>
      </c>
      <c r="L84" s="430">
        <f t="shared" si="34"/>
        <v>0</v>
      </c>
      <c r="M84" s="430">
        <f t="shared" si="34"/>
        <v>108</v>
      </c>
      <c r="N84" s="430"/>
      <c r="O84" s="430">
        <f t="shared" ref="O84:V84" si="35">SUM(O85:O86)</f>
        <v>0</v>
      </c>
      <c r="P84" s="430">
        <f t="shared" si="35"/>
        <v>0</v>
      </c>
      <c r="Q84" s="429">
        <f t="shared" si="35"/>
        <v>0</v>
      </c>
      <c r="R84" s="429">
        <f t="shared" si="35"/>
        <v>0</v>
      </c>
      <c r="S84" s="430">
        <f t="shared" si="35"/>
        <v>0</v>
      </c>
      <c r="T84" s="430">
        <f t="shared" si="35"/>
        <v>120</v>
      </c>
      <c r="U84" s="430">
        <f t="shared" si="35"/>
        <v>0</v>
      </c>
      <c r="V84" s="430">
        <f t="shared" si="35"/>
        <v>0</v>
      </c>
      <c r="W84" s="163"/>
      <c r="X84" s="151">
        <f t="shared" ref="X84:X86" si="36">SUM(Q84:W84)</f>
        <v>120</v>
      </c>
      <c r="Y84" s="216"/>
      <c r="Z84" s="151">
        <f t="shared" ref="Z84:Z86" si="37">SUM(H84:J84)+M84</f>
        <v>120</v>
      </c>
      <c r="AA84" s="216"/>
      <c r="AB84" s="216"/>
      <c r="AC84" s="216"/>
      <c r="AD84" s="216"/>
      <c r="AE84" s="216"/>
      <c r="AF84" s="216"/>
      <c r="AG84" s="216"/>
      <c r="AH84" s="216"/>
      <c r="AI84" s="216"/>
    </row>
    <row r="85" spans="1:35" s="176" customFormat="1" ht="38.25" customHeight="1" x14ac:dyDescent="0.3">
      <c r="A85" s="477" t="s">
        <v>766</v>
      </c>
      <c r="B85" s="186" t="s">
        <v>770</v>
      </c>
      <c r="C85" s="411"/>
      <c r="D85" s="412">
        <v>6</v>
      </c>
      <c r="E85" s="412">
        <v>1</v>
      </c>
      <c r="F85" s="307">
        <f t="shared" ref="F85:F88" si="38">G85/24</f>
        <v>2.5</v>
      </c>
      <c r="G85" s="357">
        <v>60</v>
      </c>
      <c r="H85" s="413">
        <v>12</v>
      </c>
      <c r="I85" s="312"/>
      <c r="J85" s="413"/>
      <c r="K85" s="413"/>
      <c r="L85" s="413"/>
      <c r="M85" s="359">
        <v>48</v>
      </c>
      <c r="N85" s="414"/>
      <c r="O85" s="425"/>
      <c r="P85" s="412"/>
      <c r="Q85" s="312"/>
      <c r="R85" s="312"/>
      <c r="S85" s="312"/>
      <c r="T85" s="312">
        <v>60</v>
      </c>
      <c r="U85" s="399"/>
      <c r="V85" s="353"/>
      <c r="W85" s="259"/>
      <c r="X85" s="151">
        <f t="shared" si="36"/>
        <v>60</v>
      </c>
      <c r="Y85" s="152"/>
      <c r="Z85" s="151">
        <f t="shared" si="37"/>
        <v>60</v>
      </c>
      <c r="AA85" s="152"/>
      <c r="AB85" s="152"/>
      <c r="AC85" s="152"/>
      <c r="AD85" s="152"/>
      <c r="AE85" s="152"/>
      <c r="AF85" s="152"/>
      <c r="AG85" s="152"/>
      <c r="AH85" s="152"/>
      <c r="AI85" s="152"/>
    </row>
    <row r="86" spans="1:35" ht="29.25" customHeight="1" x14ac:dyDescent="0.25">
      <c r="A86" s="477" t="s">
        <v>767</v>
      </c>
      <c r="B86" s="186" t="s">
        <v>771</v>
      </c>
      <c r="C86" s="411"/>
      <c r="D86" s="412">
        <v>6</v>
      </c>
      <c r="E86" s="412">
        <v>1</v>
      </c>
      <c r="F86" s="307">
        <f t="shared" si="38"/>
        <v>2.5</v>
      </c>
      <c r="G86" s="443">
        <v>60</v>
      </c>
      <c r="H86" s="444"/>
      <c r="I86" s="312"/>
      <c r="J86" s="444"/>
      <c r="K86" s="444"/>
      <c r="L86" s="444"/>
      <c r="M86" s="359">
        <v>60</v>
      </c>
      <c r="N86" s="414"/>
      <c r="O86" s="445"/>
      <c r="P86" s="412"/>
      <c r="Q86" s="312"/>
      <c r="R86" s="312"/>
      <c r="S86" s="312"/>
      <c r="T86" s="312">
        <v>60</v>
      </c>
      <c r="U86" s="312"/>
      <c r="V86" s="312"/>
      <c r="W86" s="259"/>
      <c r="X86" s="151">
        <f t="shared" si="36"/>
        <v>60</v>
      </c>
      <c r="Y86" s="135"/>
      <c r="Z86" s="151">
        <f t="shared" si="37"/>
        <v>60</v>
      </c>
      <c r="AA86" s="134"/>
      <c r="AB86" s="134"/>
      <c r="AC86" s="134"/>
      <c r="AD86" s="134"/>
      <c r="AE86" s="134"/>
      <c r="AF86" s="134"/>
      <c r="AG86" s="134"/>
      <c r="AH86" s="134"/>
      <c r="AI86" s="134"/>
    </row>
    <row r="87" spans="1:35" x14ac:dyDescent="0.25">
      <c r="A87" s="484" t="s">
        <v>592</v>
      </c>
      <c r="B87" s="284" t="s">
        <v>455</v>
      </c>
      <c r="C87" s="395"/>
      <c r="D87" s="312"/>
      <c r="E87" s="312"/>
      <c r="F87" s="307">
        <f t="shared" si="38"/>
        <v>1.5</v>
      </c>
      <c r="G87" s="422">
        <v>36</v>
      </c>
      <c r="H87" s="420">
        <v>36</v>
      </c>
      <c r="I87" s="423"/>
      <c r="J87" s="423"/>
      <c r="K87" s="423"/>
      <c r="L87" s="423"/>
      <c r="M87" s="423"/>
      <c r="N87" s="424"/>
      <c r="O87" s="395"/>
      <c r="P87" s="427"/>
      <c r="Q87" s="427"/>
      <c r="R87" s="427"/>
      <c r="S87" s="307">
        <v>36</v>
      </c>
      <c r="T87" s="312"/>
      <c r="U87" s="421"/>
      <c r="V87" s="312"/>
      <c r="W87" s="259"/>
      <c r="X87" s="151"/>
      <c r="Y87" s="135"/>
      <c r="Z87" s="151"/>
      <c r="AA87" s="134"/>
      <c r="AB87" s="134"/>
      <c r="AC87" s="134"/>
      <c r="AD87" s="134"/>
      <c r="AE87" s="134"/>
      <c r="AF87" s="134"/>
      <c r="AG87" s="134"/>
      <c r="AH87" s="134"/>
      <c r="AI87" s="134"/>
    </row>
    <row r="88" spans="1:35" s="153" customFormat="1" x14ac:dyDescent="0.3">
      <c r="A88" s="484" t="s">
        <v>593</v>
      </c>
      <c r="B88" s="284" t="s">
        <v>452</v>
      </c>
      <c r="C88" s="395"/>
      <c r="D88" s="312"/>
      <c r="E88" s="312"/>
      <c r="F88" s="307">
        <f t="shared" si="38"/>
        <v>1.5</v>
      </c>
      <c r="G88" s="422">
        <v>36</v>
      </c>
      <c r="H88" s="420">
        <v>36</v>
      </c>
      <c r="I88" s="423"/>
      <c r="J88" s="423"/>
      <c r="K88" s="423"/>
      <c r="L88" s="423"/>
      <c r="M88" s="423"/>
      <c r="N88" s="424"/>
      <c r="O88" s="395"/>
      <c r="P88" s="427"/>
      <c r="Q88" s="427"/>
      <c r="R88" s="427"/>
      <c r="S88" s="307"/>
      <c r="T88" s="307">
        <v>36</v>
      </c>
      <c r="U88" s="420"/>
      <c r="V88" s="312"/>
      <c r="W88" s="259"/>
      <c r="X88" s="151">
        <f t="shared" si="7"/>
        <v>36</v>
      </c>
      <c r="Y88" s="152"/>
      <c r="Z88" s="151">
        <f t="shared" ref="Z88:Z110" si="39">SUM(H88:K88)+M88</f>
        <v>36</v>
      </c>
      <c r="AA88" s="151"/>
      <c r="AB88" s="151"/>
      <c r="AC88" s="151"/>
      <c r="AD88" s="151"/>
      <c r="AE88" s="151"/>
      <c r="AF88" s="151"/>
      <c r="AG88" s="151"/>
      <c r="AH88" s="151"/>
      <c r="AI88" s="151"/>
    </row>
    <row r="89" spans="1:35" s="174" customFormat="1" x14ac:dyDescent="0.25">
      <c r="A89" s="485"/>
      <c r="B89" s="254" t="s">
        <v>594</v>
      </c>
      <c r="C89" s="446">
        <f>SUM(C59+C62+C67+C104)</f>
        <v>2</v>
      </c>
      <c r="D89" s="446">
        <f>SUM(D59+D62+D67+D104)</f>
        <v>10</v>
      </c>
      <c r="E89" s="446">
        <f>SUM(E59+E62+E67+E104)</f>
        <v>9</v>
      </c>
      <c r="F89" s="446">
        <v>60</v>
      </c>
      <c r="G89" s="446">
        <f>SUM(G59+G62+G67+G72+G79+G84+G87+G88+S27+T27)</f>
        <v>1440</v>
      </c>
      <c r="H89" s="446">
        <f>SUM(H59+H62+H67+H72+H79+H84+H87+H88)</f>
        <v>198</v>
      </c>
      <c r="I89" s="446">
        <f>SUM(S58+T58+I59+I62+I67+I72+I79+I84)</f>
        <v>108</v>
      </c>
      <c r="J89" s="446">
        <f>SUM(J59+J62+J67+J72+J104)</f>
        <v>30</v>
      </c>
      <c r="K89" s="446">
        <f>SUM(K59+K62+K67+K72+K104)</f>
        <v>0</v>
      </c>
      <c r="L89" s="446">
        <f>SUM(L59+L62+L67+L72+L79+L84)</f>
        <v>0</v>
      </c>
      <c r="M89" s="446">
        <f>SUM(M59+M62+M67+M72+M79+M84)</f>
        <v>1104</v>
      </c>
      <c r="N89" s="446"/>
      <c r="O89" s="446">
        <f>SUM(O59+O62+O67+O104)</f>
        <v>0</v>
      </c>
      <c r="P89" s="446">
        <f>SUM(P59+P62+P67+P104)</f>
        <v>0</v>
      </c>
      <c r="Q89" s="446">
        <f>SUM(Q59+Q62+Q67+Q104)</f>
        <v>0</v>
      </c>
      <c r="R89" s="446">
        <f>SUM(R59+R62+R67+R104)</f>
        <v>0</v>
      </c>
      <c r="S89" s="446">
        <f>SUM(S58+S59+S62+S67+S72+S79+S84+S87)</f>
        <v>612</v>
      </c>
      <c r="T89" s="446">
        <f>SUM(T58+T59+T62+T67+T72+T79+T84+T88)</f>
        <v>828</v>
      </c>
      <c r="U89" s="447">
        <v>36</v>
      </c>
      <c r="V89" s="447">
        <v>24</v>
      </c>
      <c r="X89" s="151">
        <f>SUM(Q89:W89)-60</f>
        <v>1440</v>
      </c>
      <c r="Y89" s="257"/>
      <c r="Z89" s="151"/>
      <c r="AA89" s="173"/>
      <c r="AB89" s="173"/>
      <c r="AC89" s="173"/>
      <c r="AD89" s="173"/>
      <c r="AE89" s="173"/>
      <c r="AF89" s="173"/>
      <c r="AG89" s="173"/>
      <c r="AH89" s="173"/>
      <c r="AI89" s="173"/>
    </row>
    <row r="90" spans="1:35" s="278" customFormat="1" ht="39" customHeight="1" x14ac:dyDescent="0.3">
      <c r="A90" s="479" t="s">
        <v>583</v>
      </c>
      <c r="B90" s="276" t="s">
        <v>584</v>
      </c>
      <c r="C90" s="442">
        <f>COUNT(C91:C92)</f>
        <v>1</v>
      </c>
      <c r="D90" s="442">
        <f>COUNT(D91:D92)</f>
        <v>2</v>
      </c>
      <c r="E90" s="442">
        <f>COUNT(E91:E92)</f>
        <v>2</v>
      </c>
      <c r="F90" s="430">
        <f t="shared" ref="F90:M90" si="40">SUM(F91:F92)</f>
        <v>4</v>
      </c>
      <c r="G90" s="430">
        <f t="shared" si="40"/>
        <v>96</v>
      </c>
      <c r="H90" s="430">
        <f t="shared" si="40"/>
        <v>24</v>
      </c>
      <c r="I90" s="430">
        <f t="shared" si="40"/>
        <v>0</v>
      </c>
      <c r="J90" s="430">
        <f t="shared" si="40"/>
        <v>0</v>
      </c>
      <c r="K90" s="430">
        <f t="shared" si="40"/>
        <v>0</v>
      </c>
      <c r="L90" s="430">
        <f t="shared" si="40"/>
        <v>0</v>
      </c>
      <c r="M90" s="430">
        <f t="shared" si="40"/>
        <v>72</v>
      </c>
      <c r="N90" s="430"/>
      <c r="O90" s="430">
        <f t="shared" ref="O90:V90" si="41">SUM(O91:O92)</f>
        <v>0</v>
      </c>
      <c r="P90" s="430">
        <f t="shared" si="41"/>
        <v>0</v>
      </c>
      <c r="Q90" s="429">
        <f t="shared" si="41"/>
        <v>0</v>
      </c>
      <c r="R90" s="429">
        <f t="shared" si="41"/>
        <v>0</v>
      </c>
      <c r="S90" s="430">
        <f t="shared" si="41"/>
        <v>0</v>
      </c>
      <c r="T90" s="430">
        <f t="shared" si="41"/>
        <v>0</v>
      </c>
      <c r="U90" s="430">
        <f t="shared" si="41"/>
        <v>96</v>
      </c>
      <c r="V90" s="430">
        <f t="shared" si="41"/>
        <v>0</v>
      </c>
      <c r="W90" s="163"/>
      <c r="X90" s="151">
        <f>SUM(Q90:W90)</f>
        <v>96</v>
      </c>
      <c r="Y90" s="216"/>
      <c r="Z90" s="151">
        <f>SUM(H90:J90)+M90</f>
        <v>96</v>
      </c>
      <c r="AA90" s="216"/>
      <c r="AB90" s="216"/>
      <c r="AC90" s="216"/>
      <c r="AD90" s="216"/>
      <c r="AE90" s="216"/>
      <c r="AF90" s="216"/>
      <c r="AG90" s="216"/>
      <c r="AH90" s="216"/>
      <c r="AI90" s="216"/>
    </row>
    <row r="91" spans="1:35" ht="28.5" customHeight="1" x14ac:dyDescent="0.25">
      <c r="A91" s="477" t="s">
        <v>768</v>
      </c>
      <c r="B91" s="186" t="s">
        <v>772</v>
      </c>
      <c r="C91" s="411">
        <v>7</v>
      </c>
      <c r="D91" s="412">
        <v>7</v>
      </c>
      <c r="E91" s="412">
        <v>1</v>
      </c>
      <c r="F91" s="307">
        <f>G91/24</f>
        <v>2.5</v>
      </c>
      <c r="G91" s="443">
        <v>60</v>
      </c>
      <c r="H91" s="444">
        <v>24</v>
      </c>
      <c r="I91" s="312"/>
      <c r="J91" s="444"/>
      <c r="K91" s="444"/>
      <c r="L91" s="444"/>
      <c r="M91" s="359">
        <v>36</v>
      </c>
      <c r="N91" s="414"/>
      <c r="O91" s="425"/>
      <c r="P91" s="412"/>
      <c r="Q91" s="312"/>
      <c r="R91" s="312"/>
      <c r="S91" s="312"/>
      <c r="T91" s="312"/>
      <c r="U91" s="399">
        <v>60</v>
      </c>
      <c r="V91" s="312"/>
      <c r="W91" s="259"/>
      <c r="X91" s="151">
        <f>SUM(Q91:W91)</f>
        <v>60</v>
      </c>
      <c r="Y91" s="135"/>
      <c r="Z91" s="151">
        <f>SUM(H91:J91)+M91</f>
        <v>60</v>
      </c>
      <c r="AA91" s="134"/>
      <c r="AB91" s="134"/>
      <c r="AC91" s="134"/>
      <c r="AD91" s="134"/>
      <c r="AE91" s="134"/>
      <c r="AF91" s="134"/>
      <c r="AG91" s="134"/>
      <c r="AH91" s="134"/>
      <c r="AI91" s="134"/>
    </row>
    <row r="92" spans="1:35" ht="37.5" customHeight="1" x14ac:dyDescent="0.25">
      <c r="A92" s="477" t="s">
        <v>769</v>
      </c>
      <c r="B92" s="186" t="s">
        <v>773</v>
      </c>
      <c r="C92" s="411"/>
      <c r="D92" s="412">
        <v>7</v>
      </c>
      <c r="E92" s="412">
        <v>1</v>
      </c>
      <c r="F92" s="307">
        <f>G92/24</f>
        <v>1.5</v>
      </c>
      <c r="G92" s="443">
        <v>36</v>
      </c>
      <c r="H92" s="413"/>
      <c r="I92" s="312"/>
      <c r="J92" s="413"/>
      <c r="K92" s="413"/>
      <c r="L92" s="413"/>
      <c r="M92" s="359">
        <v>36</v>
      </c>
      <c r="N92" s="414"/>
      <c r="O92" s="425"/>
      <c r="P92" s="412"/>
      <c r="Q92" s="312"/>
      <c r="R92" s="312"/>
      <c r="S92" s="312"/>
      <c r="T92" s="312"/>
      <c r="U92" s="399">
        <v>36</v>
      </c>
      <c r="V92" s="312"/>
      <c r="W92" s="259"/>
      <c r="X92" s="151">
        <f>SUM(Q92:W92)</f>
        <v>36</v>
      </c>
      <c r="Y92" s="135"/>
      <c r="Z92" s="151">
        <f>SUM(H92:J92)+M92</f>
        <v>36</v>
      </c>
      <c r="AA92" s="134"/>
      <c r="AB92" s="134"/>
      <c r="AC92" s="134"/>
      <c r="AD92" s="134"/>
      <c r="AE92" s="134"/>
      <c r="AF92" s="134"/>
      <c r="AG92" s="134"/>
      <c r="AH92" s="134"/>
      <c r="AI92" s="134"/>
    </row>
    <row r="93" spans="1:35" s="218" customFormat="1" ht="26.4" x14ac:dyDescent="0.25">
      <c r="A93" s="483" t="s">
        <v>599</v>
      </c>
      <c r="B93" s="229" t="s">
        <v>600</v>
      </c>
      <c r="C93" s="448">
        <f>COUNT(C94:C97)</f>
        <v>0</v>
      </c>
      <c r="D93" s="448">
        <f t="shared" ref="D93:E93" si="42">COUNT(D94:D97)</f>
        <v>4</v>
      </c>
      <c r="E93" s="448">
        <f t="shared" si="42"/>
        <v>0</v>
      </c>
      <c r="F93" s="449">
        <f>SUM(F94:F97)</f>
        <v>18</v>
      </c>
      <c r="G93" s="449">
        <f t="shared" ref="G93:V93" si="43">SUM(G94:G97)</f>
        <v>372</v>
      </c>
      <c r="H93" s="449">
        <f t="shared" si="43"/>
        <v>36</v>
      </c>
      <c r="I93" s="449">
        <f t="shared" si="43"/>
        <v>0</v>
      </c>
      <c r="J93" s="449">
        <f t="shared" si="43"/>
        <v>0</v>
      </c>
      <c r="K93" s="449">
        <f t="shared" si="43"/>
        <v>0</v>
      </c>
      <c r="L93" s="449">
        <f t="shared" si="43"/>
        <v>0</v>
      </c>
      <c r="M93" s="449">
        <f t="shared" si="43"/>
        <v>336</v>
      </c>
      <c r="N93" s="449">
        <f t="shared" si="43"/>
        <v>0</v>
      </c>
      <c r="O93" s="449">
        <f t="shared" si="43"/>
        <v>0</v>
      </c>
      <c r="P93" s="449">
        <f t="shared" si="43"/>
        <v>0</v>
      </c>
      <c r="Q93" s="449">
        <f t="shared" si="43"/>
        <v>0</v>
      </c>
      <c r="R93" s="449">
        <f t="shared" si="43"/>
        <v>0</v>
      </c>
      <c r="S93" s="449">
        <f t="shared" si="43"/>
        <v>0</v>
      </c>
      <c r="T93" s="449">
        <f t="shared" si="43"/>
        <v>0</v>
      </c>
      <c r="U93" s="449">
        <f t="shared" si="43"/>
        <v>84</v>
      </c>
      <c r="V93" s="449">
        <f t="shared" si="43"/>
        <v>288</v>
      </c>
      <c r="W93" s="163"/>
      <c r="X93" s="151">
        <f t="shared" si="7"/>
        <v>372</v>
      </c>
      <c r="Y93" s="164"/>
      <c r="Z93" s="151"/>
      <c r="AA93" s="217"/>
      <c r="AB93" s="217"/>
      <c r="AC93" s="217"/>
      <c r="AD93" s="217"/>
      <c r="AE93" s="217"/>
      <c r="AF93" s="217"/>
      <c r="AG93" s="217"/>
      <c r="AH93" s="217"/>
      <c r="AI93" s="217"/>
    </row>
    <row r="94" spans="1:35" s="153" customFormat="1" ht="53.25" customHeight="1" x14ac:dyDescent="0.25">
      <c r="A94" s="477" t="s">
        <v>774</v>
      </c>
      <c r="B94" s="179" t="s">
        <v>778</v>
      </c>
      <c r="C94" s="450"/>
      <c r="D94" s="450">
        <v>8</v>
      </c>
      <c r="E94" s="450"/>
      <c r="F94" s="451">
        <v>4.5</v>
      </c>
      <c r="G94" s="452">
        <v>48</v>
      </c>
      <c r="H94" s="451">
        <v>12</v>
      </c>
      <c r="I94" s="451"/>
      <c r="J94" s="451"/>
      <c r="K94" s="451"/>
      <c r="L94" s="451"/>
      <c r="M94" s="451">
        <v>36</v>
      </c>
      <c r="N94" s="451"/>
      <c r="O94" s="451"/>
      <c r="P94" s="451"/>
      <c r="Q94" s="451"/>
      <c r="R94" s="451"/>
      <c r="S94" s="452"/>
      <c r="T94" s="452"/>
      <c r="U94" s="451">
        <v>24</v>
      </c>
      <c r="V94" s="451">
        <v>24</v>
      </c>
      <c r="W94" s="150"/>
      <c r="X94" s="151">
        <f t="shared" si="7"/>
        <v>48</v>
      </c>
      <c r="Y94" s="135"/>
      <c r="Z94" s="151">
        <f>SUM(H94:J94)+M94</f>
        <v>48</v>
      </c>
      <c r="AA94" s="151"/>
      <c r="AB94" s="151"/>
      <c r="AC94" s="151"/>
      <c r="AD94" s="151"/>
      <c r="AE94" s="151"/>
      <c r="AF94" s="151"/>
      <c r="AG94" s="151"/>
      <c r="AH94" s="151"/>
      <c r="AI94" s="151"/>
    </row>
    <row r="95" spans="1:35" s="153" customFormat="1" ht="28.5" customHeight="1" x14ac:dyDescent="0.25">
      <c r="A95" s="477" t="s">
        <v>775</v>
      </c>
      <c r="B95" s="295" t="s">
        <v>743</v>
      </c>
      <c r="C95" s="450"/>
      <c r="D95" s="450">
        <v>8</v>
      </c>
      <c r="E95" s="450"/>
      <c r="F95" s="451">
        <v>2</v>
      </c>
      <c r="G95" s="452">
        <v>48</v>
      </c>
      <c r="H95" s="451"/>
      <c r="I95" s="451"/>
      <c r="J95" s="451"/>
      <c r="K95" s="451"/>
      <c r="L95" s="451"/>
      <c r="M95" s="451">
        <v>48</v>
      </c>
      <c r="N95" s="451"/>
      <c r="O95" s="451"/>
      <c r="P95" s="451"/>
      <c r="Q95" s="451"/>
      <c r="R95" s="451"/>
      <c r="S95" s="452"/>
      <c r="T95" s="452"/>
      <c r="U95" s="451">
        <v>24</v>
      </c>
      <c r="V95" s="451">
        <v>24</v>
      </c>
      <c r="W95" s="150"/>
      <c r="X95" s="151">
        <f t="shared" si="7"/>
        <v>48</v>
      </c>
      <c r="Y95" s="135"/>
      <c r="Z95" s="151">
        <f t="shared" ref="Z95:Z103" si="44">SUM(H95:J95)+M95</f>
        <v>48</v>
      </c>
      <c r="AA95" s="151"/>
      <c r="AB95" s="151"/>
      <c r="AC95" s="151"/>
      <c r="AD95" s="151"/>
      <c r="AE95" s="151"/>
      <c r="AF95" s="151"/>
      <c r="AG95" s="151"/>
      <c r="AH95" s="151"/>
      <c r="AI95" s="151"/>
    </row>
    <row r="96" spans="1:35" s="153" customFormat="1" ht="31.5" customHeight="1" x14ac:dyDescent="0.25">
      <c r="A96" s="477" t="s">
        <v>776</v>
      </c>
      <c r="B96" s="295" t="s">
        <v>779</v>
      </c>
      <c r="C96" s="450"/>
      <c r="D96" s="450">
        <v>8</v>
      </c>
      <c r="E96" s="450"/>
      <c r="F96" s="451">
        <v>2.5</v>
      </c>
      <c r="G96" s="452">
        <v>60</v>
      </c>
      <c r="H96" s="451">
        <v>24</v>
      </c>
      <c r="I96" s="451"/>
      <c r="J96" s="451"/>
      <c r="K96" s="451"/>
      <c r="L96" s="451"/>
      <c r="M96" s="451">
        <v>36</v>
      </c>
      <c r="N96" s="451"/>
      <c r="O96" s="451"/>
      <c r="P96" s="451"/>
      <c r="Q96" s="451"/>
      <c r="R96" s="451"/>
      <c r="S96" s="452"/>
      <c r="T96" s="452"/>
      <c r="U96" s="451">
        <v>36</v>
      </c>
      <c r="V96" s="451">
        <v>24</v>
      </c>
      <c r="W96" s="150"/>
      <c r="X96" s="151">
        <f t="shared" si="7"/>
        <v>60</v>
      </c>
      <c r="Y96" s="135"/>
      <c r="Z96" s="151">
        <f t="shared" si="44"/>
        <v>60</v>
      </c>
      <c r="AA96" s="151"/>
      <c r="AB96" s="151"/>
      <c r="AC96" s="151"/>
      <c r="AD96" s="151"/>
      <c r="AE96" s="151"/>
      <c r="AF96" s="151"/>
      <c r="AG96" s="151"/>
      <c r="AH96" s="151"/>
      <c r="AI96" s="151"/>
    </row>
    <row r="97" spans="1:35" s="153" customFormat="1" ht="45.75" customHeight="1" x14ac:dyDescent="0.25">
      <c r="A97" s="477" t="s">
        <v>777</v>
      </c>
      <c r="B97" s="296" t="s">
        <v>780</v>
      </c>
      <c r="C97" s="361" t="s">
        <v>781</v>
      </c>
      <c r="D97" s="361">
        <v>8</v>
      </c>
      <c r="E97" s="361"/>
      <c r="F97" s="224">
        <v>9</v>
      </c>
      <c r="G97" s="353">
        <v>216</v>
      </c>
      <c r="H97" s="224"/>
      <c r="I97" s="224"/>
      <c r="J97" s="224"/>
      <c r="K97" s="224"/>
      <c r="L97" s="224"/>
      <c r="M97" s="224">
        <v>216</v>
      </c>
      <c r="N97" s="224"/>
      <c r="O97" s="224"/>
      <c r="P97" s="224"/>
      <c r="Q97" s="224"/>
      <c r="R97" s="224"/>
      <c r="S97" s="353"/>
      <c r="T97" s="353"/>
      <c r="U97" s="224"/>
      <c r="V97" s="224">
        <v>216</v>
      </c>
      <c r="W97" s="150"/>
      <c r="X97" s="151">
        <f t="shared" si="7"/>
        <v>216</v>
      </c>
      <c r="Y97" s="135"/>
      <c r="Z97" s="151">
        <f t="shared" si="44"/>
        <v>216</v>
      </c>
      <c r="AA97" s="151"/>
      <c r="AB97" s="151"/>
      <c r="AC97" s="151"/>
      <c r="AD97" s="151"/>
      <c r="AE97" s="151"/>
      <c r="AF97" s="151"/>
      <c r="AG97" s="151"/>
      <c r="AH97" s="151"/>
      <c r="AI97" s="151"/>
    </row>
    <row r="98" spans="1:35" s="298" customFormat="1" ht="22.5" customHeight="1" x14ac:dyDescent="0.25">
      <c r="A98" s="479" t="s">
        <v>608</v>
      </c>
      <c r="B98" s="276" t="s">
        <v>609</v>
      </c>
      <c r="C98" s="309">
        <f>COUNT(C99:C103)</f>
        <v>1</v>
      </c>
      <c r="D98" s="309">
        <f t="shared" ref="D98:E98" si="45">COUNT(D99:D103)</f>
        <v>4</v>
      </c>
      <c r="E98" s="309">
        <f t="shared" si="45"/>
        <v>4</v>
      </c>
      <c r="F98" s="430">
        <f>SUM(F99:F103)</f>
        <v>21</v>
      </c>
      <c r="G98" s="430">
        <f>SUM(G99:G103)</f>
        <v>504</v>
      </c>
      <c r="H98" s="430">
        <f t="shared" ref="H98:M98" si="46">SUM(H99:H103)</f>
        <v>60</v>
      </c>
      <c r="I98" s="430">
        <f t="shared" si="46"/>
        <v>0</v>
      </c>
      <c r="J98" s="430">
        <f t="shared" si="46"/>
        <v>0</v>
      </c>
      <c r="K98" s="430">
        <f t="shared" si="46"/>
        <v>0</v>
      </c>
      <c r="L98" s="430">
        <f t="shared" si="46"/>
        <v>0</v>
      </c>
      <c r="M98" s="430">
        <f t="shared" si="46"/>
        <v>444</v>
      </c>
      <c r="N98" s="430"/>
      <c r="O98" s="430">
        <f>SUM(O99:O103)</f>
        <v>0</v>
      </c>
      <c r="P98" s="430">
        <f t="shared" ref="P98:V98" si="47">SUM(P99:P103)</f>
        <v>0</v>
      </c>
      <c r="Q98" s="429">
        <f t="shared" si="47"/>
        <v>0</v>
      </c>
      <c r="R98" s="429">
        <f t="shared" si="47"/>
        <v>0</v>
      </c>
      <c r="S98" s="430">
        <f t="shared" si="47"/>
        <v>0</v>
      </c>
      <c r="T98" s="430">
        <f t="shared" si="47"/>
        <v>0</v>
      </c>
      <c r="U98" s="430">
        <f t="shared" si="47"/>
        <v>360</v>
      </c>
      <c r="V98" s="430">
        <f t="shared" si="47"/>
        <v>144</v>
      </c>
      <c r="W98" s="163"/>
      <c r="X98" s="151"/>
      <c r="Y98" s="164"/>
      <c r="Z98" s="151">
        <f t="shared" si="44"/>
        <v>504</v>
      </c>
      <c r="AA98" s="164"/>
      <c r="AB98" s="164"/>
      <c r="AC98" s="164"/>
      <c r="AD98" s="164"/>
      <c r="AE98" s="164"/>
      <c r="AF98" s="164"/>
      <c r="AG98" s="164"/>
      <c r="AH98" s="164"/>
      <c r="AI98" s="164"/>
    </row>
    <row r="99" spans="1:35" ht="26.4" x14ac:dyDescent="0.25">
      <c r="A99" s="477" t="s">
        <v>782</v>
      </c>
      <c r="B99" s="205" t="s">
        <v>787</v>
      </c>
      <c r="C99" s="411"/>
      <c r="D99" s="412">
        <v>7</v>
      </c>
      <c r="E99" s="412">
        <v>1</v>
      </c>
      <c r="F99" s="307">
        <f t="shared" ref="F99:F103" si="48">G99/24</f>
        <v>5.5</v>
      </c>
      <c r="G99" s="357">
        <v>132</v>
      </c>
      <c r="H99" s="413">
        <v>24</v>
      </c>
      <c r="I99" s="312"/>
      <c r="J99" s="413"/>
      <c r="K99" s="413"/>
      <c r="L99" s="413"/>
      <c r="M99" s="359">
        <v>108</v>
      </c>
      <c r="N99" s="414"/>
      <c r="O99" s="445"/>
      <c r="P99" s="412"/>
      <c r="Q99" s="312"/>
      <c r="R99" s="312"/>
      <c r="S99" s="312"/>
      <c r="T99" s="312"/>
      <c r="U99" s="312">
        <v>132</v>
      </c>
      <c r="V99" s="399"/>
      <c r="W99" s="259"/>
      <c r="X99" s="151">
        <f t="shared" ref="X99:X112" si="49">SUM(Q99:W99)</f>
        <v>132</v>
      </c>
      <c r="Y99" s="135"/>
      <c r="Z99" s="151">
        <f t="shared" si="44"/>
        <v>132</v>
      </c>
      <c r="AA99" s="134"/>
      <c r="AB99" s="134"/>
      <c r="AC99" s="134"/>
      <c r="AD99" s="134"/>
      <c r="AE99" s="134"/>
      <c r="AF99" s="134"/>
      <c r="AG99" s="134"/>
      <c r="AH99" s="134"/>
      <c r="AI99" s="134"/>
    </row>
    <row r="100" spans="1:35" ht="27.75" customHeight="1" x14ac:dyDescent="0.25">
      <c r="A100" s="477" t="s">
        <v>783</v>
      </c>
      <c r="B100" s="205" t="s">
        <v>788</v>
      </c>
      <c r="C100" s="425"/>
      <c r="D100" s="312">
        <v>7</v>
      </c>
      <c r="E100" s="312">
        <v>1</v>
      </c>
      <c r="F100" s="307">
        <f t="shared" si="48"/>
        <v>2</v>
      </c>
      <c r="G100" s="353">
        <v>48</v>
      </c>
      <c r="H100" s="359">
        <v>12</v>
      </c>
      <c r="I100" s="312"/>
      <c r="J100" s="359"/>
      <c r="K100" s="359"/>
      <c r="L100" s="359"/>
      <c r="M100" s="359">
        <v>36</v>
      </c>
      <c r="N100" s="441"/>
      <c r="O100" s="445"/>
      <c r="P100" s="312"/>
      <c r="Q100" s="312"/>
      <c r="R100" s="312"/>
      <c r="S100" s="312"/>
      <c r="T100" s="312"/>
      <c r="U100" s="399">
        <v>48</v>
      </c>
      <c r="V100" s="312"/>
      <c r="W100" s="259"/>
      <c r="X100" s="151">
        <f t="shared" si="49"/>
        <v>48</v>
      </c>
      <c r="Y100" s="135"/>
      <c r="Z100" s="151">
        <f t="shared" si="44"/>
        <v>48</v>
      </c>
      <c r="AA100" s="134"/>
      <c r="AB100" s="134"/>
      <c r="AC100" s="134"/>
      <c r="AD100" s="134"/>
      <c r="AE100" s="134"/>
      <c r="AF100" s="134"/>
      <c r="AG100" s="134"/>
      <c r="AH100" s="134"/>
      <c r="AI100" s="134"/>
    </row>
    <row r="101" spans="1:35" ht="28.5" customHeight="1" x14ac:dyDescent="0.25">
      <c r="A101" s="477" t="s">
        <v>784</v>
      </c>
      <c r="B101" s="205" t="s">
        <v>789</v>
      </c>
      <c r="C101" s="425"/>
      <c r="D101" s="312">
        <v>7</v>
      </c>
      <c r="E101" s="312">
        <v>1</v>
      </c>
      <c r="F101" s="307">
        <f t="shared" si="48"/>
        <v>2</v>
      </c>
      <c r="G101" s="353">
        <v>48</v>
      </c>
      <c r="H101" s="359">
        <v>12</v>
      </c>
      <c r="I101" s="312"/>
      <c r="J101" s="359"/>
      <c r="K101" s="359"/>
      <c r="L101" s="359"/>
      <c r="M101" s="359">
        <v>36</v>
      </c>
      <c r="N101" s="441"/>
      <c r="O101" s="445"/>
      <c r="P101" s="312"/>
      <c r="Q101" s="312"/>
      <c r="R101" s="312"/>
      <c r="S101" s="312"/>
      <c r="T101" s="312"/>
      <c r="U101" s="399">
        <v>48</v>
      </c>
      <c r="V101" s="399"/>
      <c r="W101" s="259"/>
      <c r="X101" s="151">
        <f t="shared" si="49"/>
        <v>48</v>
      </c>
      <c r="Y101" s="135"/>
      <c r="Z101" s="151">
        <f t="shared" si="44"/>
        <v>48</v>
      </c>
      <c r="AA101" s="134"/>
      <c r="AB101" s="134"/>
      <c r="AC101" s="134"/>
      <c r="AD101" s="134"/>
      <c r="AE101" s="134"/>
      <c r="AF101" s="134"/>
      <c r="AG101" s="134"/>
      <c r="AH101" s="134"/>
      <c r="AI101" s="134"/>
    </row>
    <row r="102" spans="1:35" ht="39.75" customHeight="1" x14ac:dyDescent="0.25">
      <c r="A102" s="477" t="s">
        <v>785</v>
      </c>
      <c r="B102" s="205" t="s">
        <v>790</v>
      </c>
      <c r="C102" s="425">
        <v>7</v>
      </c>
      <c r="D102" s="412">
        <v>7</v>
      </c>
      <c r="E102" s="412">
        <v>1</v>
      </c>
      <c r="F102" s="307">
        <f t="shared" si="48"/>
        <v>5.5</v>
      </c>
      <c r="G102" s="357">
        <v>132</v>
      </c>
      <c r="H102" s="413">
        <v>12</v>
      </c>
      <c r="I102" s="312"/>
      <c r="J102" s="413"/>
      <c r="K102" s="413"/>
      <c r="L102" s="413"/>
      <c r="M102" s="359">
        <v>120</v>
      </c>
      <c r="N102" s="441"/>
      <c r="O102" s="445"/>
      <c r="P102" s="312"/>
      <c r="Q102" s="312"/>
      <c r="R102" s="312"/>
      <c r="S102" s="312"/>
      <c r="T102" s="312"/>
      <c r="U102" s="399">
        <v>132</v>
      </c>
      <c r="V102" s="312"/>
      <c r="W102" s="259"/>
      <c r="X102" s="151">
        <f t="shared" si="49"/>
        <v>132</v>
      </c>
      <c r="Y102" s="135"/>
      <c r="Z102" s="151">
        <f t="shared" si="44"/>
        <v>132</v>
      </c>
      <c r="AA102" s="134"/>
      <c r="AB102" s="134"/>
      <c r="AC102" s="134"/>
      <c r="AD102" s="134"/>
      <c r="AE102" s="134"/>
      <c r="AF102" s="134"/>
      <c r="AG102" s="134"/>
      <c r="AH102" s="134"/>
      <c r="AI102" s="134"/>
    </row>
    <row r="103" spans="1:35" ht="18" customHeight="1" x14ac:dyDescent="0.25">
      <c r="A103" s="477" t="s">
        <v>786</v>
      </c>
      <c r="B103" s="299" t="s">
        <v>791</v>
      </c>
      <c r="C103" s="453"/>
      <c r="D103" s="453"/>
      <c r="E103" s="453"/>
      <c r="F103" s="354">
        <f t="shared" si="48"/>
        <v>6</v>
      </c>
      <c r="G103" s="454">
        <v>144</v>
      </c>
      <c r="H103" s="453">
        <v>0</v>
      </c>
      <c r="I103" s="453"/>
      <c r="J103" s="453"/>
      <c r="K103" s="453"/>
      <c r="L103" s="453"/>
      <c r="M103" s="453">
        <v>144</v>
      </c>
      <c r="N103" s="455"/>
      <c r="O103" s="453"/>
      <c r="P103" s="453"/>
      <c r="Q103" s="456"/>
      <c r="R103" s="456"/>
      <c r="S103" s="456"/>
      <c r="T103" s="456"/>
      <c r="U103" s="453">
        <v>0</v>
      </c>
      <c r="V103" s="453">
        <v>144</v>
      </c>
      <c r="W103" s="259"/>
      <c r="X103" s="151">
        <f t="shared" si="49"/>
        <v>144</v>
      </c>
      <c r="Y103" s="135"/>
      <c r="Z103" s="151">
        <f t="shared" si="44"/>
        <v>144</v>
      </c>
      <c r="AA103" s="134"/>
      <c r="AB103" s="134"/>
      <c r="AC103" s="134"/>
      <c r="AD103" s="134"/>
      <c r="AE103" s="134"/>
      <c r="AF103" s="134"/>
      <c r="AG103" s="134"/>
      <c r="AH103" s="134"/>
      <c r="AI103" s="134"/>
    </row>
    <row r="104" spans="1:35" s="174" customFormat="1" ht="66.75" customHeight="1" x14ac:dyDescent="0.3">
      <c r="A104" s="478" t="s">
        <v>620</v>
      </c>
      <c r="B104" s="180" t="s">
        <v>621</v>
      </c>
      <c r="C104" s="457">
        <f>COUNT(C105:C108)</f>
        <v>0</v>
      </c>
      <c r="D104" s="457">
        <f t="shared" ref="D104:E104" si="50">COUNT(D105:D108)</f>
        <v>4</v>
      </c>
      <c r="E104" s="457">
        <f t="shared" si="50"/>
        <v>2</v>
      </c>
      <c r="F104" s="410">
        <f>SUM(F105:F108)</f>
        <v>5</v>
      </c>
      <c r="G104" s="458">
        <f t="shared" ref="G104:V104" si="51">SUM(G105:G108)</f>
        <v>120</v>
      </c>
      <c r="H104" s="410">
        <f>SUM(H105:H108)</f>
        <v>120</v>
      </c>
      <c r="I104" s="410">
        <f t="shared" si="51"/>
        <v>0</v>
      </c>
      <c r="J104" s="410">
        <f t="shared" si="51"/>
        <v>0</v>
      </c>
      <c r="K104" s="410">
        <f t="shared" si="51"/>
        <v>0</v>
      </c>
      <c r="L104" s="410">
        <f t="shared" si="51"/>
        <v>0</v>
      </c>
      <c r="M104" s="410">
        <f t="shared" si="51"/>
        <v>0</v>
      </c>
      <c r="N104" s="410">
        <f t="shared" si="51"/>
        <v>0</v>
      </c>
      <c r="O104" s="410">
        <f t="shared" si="51"/>
        <v>0</v>
      </c>
      <c r="P104" s="410">
        <f t="shared" si="51"/>
        <v>0</v>
      </c>
      <c r="Q104" s="410">
        <f t="shared" si="51"/>
        <v>0</v>
      </c>
      <c r="R104" s="410">
        <f t="shared" si="51"/>
        <v>0</v>
      </c>
      <c r="S104" s="410">
        <f t="shared" si="51"/>
        <v>0</v>
      </c>
      <c r="T104" s="410">
        <f t="shared" si="51"/>
        <v>0</v>
      </c>
      <c r="U104" s="410">
        <f t="shared" si="51"/>
        <v>0</v>
      </c>
      <c r="V104" s="410">
        <f t="shared" si="51"/>
        <v>120</v>
      </c>
      <c r="W104" s="172"/>
      <c r="X104" s="151">
        <f t="shared" si="49"/>
        <v>120</v>
      </c>
      <c r="Y104" s="173"/>
      <c r="Z104" s="151"/>
      <c r="AA104" s="173"/>
      <c r="AB104" s="173"/>
      <c r="AC104" s="173"/>
      <c r="AD104" s="173"/>
      <c r="AE104" s="173"/>
      <c r="AF104" s="173"/>
      <c r="AG104" s="173"/>
      <c r="AH104" s="173"/>
      <c r="AI104" s="173"/>
    </row>
    <row r="105" spans="1:35" s="153" customFormat="1" ht="52.8" x14ac:dyDescent="0.3">
      <c r="A105" s="477" t="s">
        <v>719</v>
      </c>
      <c r="B105" s="195" t="s">
        <v>794</v>
      </c>
      <c r="C105" s="395"/>
      <c r="D105" s="312">
        <v>8</v>
      </c>
      <c r="E105" s="312">
        <v>1</v>
      </c>
      <c r="F105" s="307">
        <f>G105/24</f>
        <v>1</v>
      </c>
      <c r="G105" s="422">
        <v>24</v>
      </c>
      <c r="H105" s="420">
        <v>24</v>
      </c>
      <c r="I105" s="423"/>
      <c r="J105" s="423"/>
      <c r="K105" s="423"/>
      <c r="L105" s="426"/>
      <c r="M105" s="423"/>
      <c r="N105" s="424"/>
      <c r="O105" s="425"/>
      <c r="P105" s="427"/>
      <c r="Q105" s="427"/>
      <c r="R105" s="427"/>
      <c r="S105" s="427"/>
      <c r="T105" s="307"/>
      <c r="U105" s="420"/>
      <c r="V105" s="312">
        <v>24</v>
      </c>
      <c r="W105" s="259"/>
      <c r="X105" s="151">
        <f t="shared" si="49"/>
        <v>24</v>
      </c>
      <c r="Y105" s="152"/>
      <c r="Z105" s="151">
        <f>SUM(H105:K105)+M105</f>
        <v>24</v>
      </c>
      <c r="AA105" s="151"/>
      <c r="AB105" s="151"/>
      <c r="AC105" s="151"/>
      <c r="AD105" s="151"/>
      <c r="AE105" s="151"/>
      <c r="AF105" s="151"/>
      <c r="AG105" s="151"/>
      <c r="AH105" s="151"/>
      <c r="AI105" s="151"/>
    </row>
    <row r="106" spans="1:35" s="153" customFormat="1" ht="39.6" x14ac:dyDescent="0.3">
      <c r="A106" s="477" t="s">
        <v>792</v>
      </c>
      <c r="B106" s="195" t="s">
        <v>795</v>
      </c>
      <c r="C106" s="395"/>
      <c r="D106" s="312">
        <v>8</v>
      </c>
      <c r="E106" s="312">
        <v>1</v>
      </c>
      <c r="F106" s="307">
        <f>G106/24</f>
        <v>1.5</v>
      </c>
      <c r="G106" s="422">
        <v>36</v>
      </c>
      <c r="H106" s="420">
        <v>36</v>
      </c>
      <c r="I106" s="423"/>
      <c r="J106" s="423"/>
      <c r="K106" s="423"/>
      <c r="L106" s="426"/>
      <c r="M106" s="423"/>
      <c r="N106" s="424"/>
      <c r="O106" s="395"/>
      <c r="P106" s="427"/>
      <c r="Q106" s="427"/>
      <c r="R106" s="427"/>
      <c r="S106" s="427"/>
      <c r="T106" s="307"/>
      <c r="U106" s="420"/>
      <c r="V106" s="312">
        <v>36</v>
      </c>
      <c r="W106" s="259"/>
      <c r="X106" s="151">
        <f t="shared" si="49"/>
        <v>36</v>
      </c>
      <c r="Y106" s="152"/>
      <c r="Z106" s="151">
        <f>SUM(H106:K106)+M106</f>
        <v>36</v>
      </c>
      <c r="AA106" s="151"/>
      <c r="AB106" s="151"/>
      <c r="AC106" s="151"/>
      <c r="AD106" s="151"/>
      <c r="AE106" s="151"/>
      <c r="AF106" s="151"/>
      <c r="AG106" s="151"/>
      <c r="AH106" s="151"/>
      <c r="AI106" s="151"/>
    </row>
    <row r="107" spans="1:35" s="153" customFormat="1" ht="26.4" x14ac:dyDescent="0.3">
      <c r="A107" s="477" t="s">
        <v>721</v>
      </c>
      <c r="B107" s="195" t="s">
        <v>796</v>
      </c>
      <c r="C107" s="395"/>
      <c r="D107" s="312">
        <v>8</v>
      </c>
      <c r="E107" s="312"/>
      <c r="F107" s="307">
        <f>G107/24</f>
        <v>1.5</v>
      </c>
      <c r="G107" s="422">
        <v>36</v>
      </c>
      <c r="H107" s="420">
        <v>36</v>
      </c>
      <c r="I107" s="423"/>
      <c r="J107" s="423"/>
      <c r="K107" s="423"/>
      <c r="L107" s="426"/>
      <c r="M107" s="423"/>
      <c r="N107" s="424"/>
      <c r="O107" s="395"/>
      <c r="P107" s="427"/>
      <c r="Q107" s="427"/>
      <c r="R107" s="427"/>
      <c r="S107" s="427"/>
      <c r="T107" s="307"/>
      <c r="U107" s="420"/>
      <c r="V107" s="312">
        <v>36</v>
      </c>
      <c r="W107" s="259"/>
      <c r="X107" s="151">
        <f t="shared" si="49"/>
        <v>36</v>
      </c>
      <c r="Y107" s="152"/>
      <c r="Z107" s="151">
        <f>SUM(H107:K107)+M107</f>
        <v>36</v>
      </c>
      <c r="AA107" s="151"/>
      <c r="AB107" s="151"/>
      <c r="AC107" s="151"/>
      <c r="AD107" s="151"/>
      <c r="AE107" s="151"/>
      <c r="AF107" s="151"/>
      <c r="AG107" s="151"/>
      <c r="AH107" s="151"/>
      <c r="AI107" s="151"/>
    </row>
    <row r="108" spans="1:35" s="153" customFormat="1" ht="26.4" x14ac:dyDescent="0.3">
      <c r="A108" s="477" t="s">
        <v>793</v>
      </c>
      <c r="B108" s="179" t="s">
        <v>797</v>
      </c>
      <c r="C108" s="427"/>
      <c r="D108" s="312">
        <v>8</v>
      </c>
      <c r="E108" s="312"/>
      <c r="F108" s="307">
        <f>G108/24</f>
        <v>1</v>
      </c>
      <c r="G108" s="355">
        <v>24</v>
      </c>
      <c r="H108" s="312">
        <v>24</v>
      </c>
      <c r="I108" s="427"/>
      <c r="J108" s="427"/>
      <c r="K108" s="427"/>
      <c r="L108" s="307"/>
      <c r="M108" s="427"/>
      <c r="N108" s="427"/>
      <c r="O108" s="427"/>
      <c r="P108" s="427"/>
      <c r="Q108" s="427"/>
      <c r="R108" s="427"/>
      <c r="S108" s="427"/>
      <c r="T108" s="307"/>
      <c r="U108" s="312"/>
      <c r="V108" s="312">
        <v>24</v>
      </c>
      <c r="W108" s="259"/>
      <c r="X108" s="151">
        <f t="shared" si="49"/>
        <v>24</v>
      </c>
      <c r="Y108" s="152"/>
      <c r="Z108" s="151">
        <f>SUM(H108:K108)+M108</f>
        <v>24</v>
      </c>
      <c r="AA108" s="151"/>
      <c r="AB108" s="151"/>
      <c r="AC108" s="151"/>
      <c r="AD108" s="151"/>
      <c r="AE108" s="151"/>
      <c r="AF108" s="151"/>
      <c r="AG108" s="151"/>
      <c r="AH108" s="151"/>
      <c r="AI108" s="151"/>
    </row>
    <row r="109" spans="1:35" s="176" customFormat="1" x14ac:dyDescent="0.3">
      <c r="A109" s="477" t="s">
        <v>631</v>
      </c>
      <c r="B109" s="306" t="s">
        <v>455</v>
      </c>
      <c r="C109" s="355"/>
      <c r="D109" s="355"/>
      <c r="E109" s="355"/>
      <c r="F109" s="307">
        <v>1.5</v>
      </c>
      <c r="G109" s="353">
        <v>36</v>
      </c>
      <c r="H109" s="355">
        <v>36</v>
      </c>
      <c r="I109" s="355"/>
      <c r="J109" s="355"/>
      <c r="K109" s="355"/>
      <c r="L109" s="355"/>
      <c r="M109" s="355"/>
      <c r="N109" s="353"/>
      <c r="O109" s="355"/>
      <c r="P109" s="355"/>
      <c r="Q109" s="427"/>
      <c r="R109" s="427"/>
      <c r="S109" s="355"/>
      <c r="T109" s="355"/>
      <c r="U109" s="307">
        <v>36</v>
      </c>
      <c r="V109" s="355"/>
      <c r="W109" s="259"/>
      <c r="X109" s="151">
        <f t="shared" si="49"/>
        <v>36</v>
      </c>
      <c r="Y109" s="152"/>
      <c r="Z109" s="151">
        <f t="shared" si="39"/>
        <v>36</v>
      </c>
      <c r="AA109" s="152"/>
      <c r="AB109" s="152"/>
      <c r="AC109" s="152"/>
      <c r="AD109" s="152"/>
      <c r="AE109" s="152"/>
      <c r="AF109" s="152"/>
      <c r="AG109" s="152"/>
      <c r="AH109" s="152"/>
      <c r="AI109" s="152"/>
    </row>
    <row r="110" spans="1:35" s="278" customFormat="1" x14ac:dyDescent="0.3">
      <c r="A110" s="479" t="s">
        <v>632</v>
      </c>
      <c r="B110" s="308" t="s">
        <v>633</v>
      </c>
      <c r="C110" s="309">
        <v>0</v>
      </c>
      <c r="D110" s="309">
        <v>0</v>
      </c>
      <c r="E110" s="309">
        <v>0</v>
      </c>
      <c r="F110" s="459">
        <f>G110/24</f>
        <v>9</v>
      </c>
      <c r="G110" s="309">
        <v>216</v>
      </c>
      <c r="H110" s="309">
        <v>216</v>
      </c>
      <c r="I110" s="309"/>
      <c r="J110" s="309"/>
      <c r="K110" s="309"/>
      <c r="L110" s="309"/>
      <c r="M110" s="309"/>
      <c r="N110" s="309"/>
      <c r="O110" s="309"/>
      <c r="P110" s="309"/>
      <c r="Q110" s="379"/>
      <c r="R110" s="379"/>
      <c r="S110" s="309"/>
      <c r="T110" s="309"/>
      <c r="U110" s="309"/>
      <c r="V110" s="309">
        <v>216</v>
      </c>
      <c r="W110" s="163"/>
      <c r="X110" s="151">
        <f t="shared" si="49"/>
        <v>216</v>
      </c>
      <c r="Y110" s="216"/>
      <c r="Z110" s="151">
        <f t="shared" si="39"/>
        <v>216</v>
      </c>
      <c r="AA110" s="216"/>
      <c r="AB110" s="216"/>
      <c r="AC110" s="216"/>
      <c r="AD110" s="216"/>
      <c r="AE110" s="216"/>
      <c r="AF110" s="216"/>
      <c r="AG110" s="216"/>
      <c r="AH110" s="216"/>
      <c r="AI110" s="216"/>
    </row>
    <row r="111" spans="1:35" s="176" customFormat="1" x14ac:dyDescent="0.3">
      <c r="A111" s="486" t="s">
        <v>634</v>
      </c>
      <c r="B111" s="225" t="s">
        <v>452</v>
      </c>
      <c r="C111" s="312"/>
      <c r="D111" s="312"/>
      <c r="E111" s="312"/>
      <c r="F111" s="307">
        <f>G111/24</f>
        <v>1.5</v>
      </c>
      <c r="G111" s="353">
        <v>36</v>
      </c>
      <c r="H111" s="353">
        <v>36</v>
      </c>
      <c r="I111" s="359"/>
      <c r="J111" s="359"/>
      <c r="K111" s="359"/>
      <c r="L111" s="359"/>
      <c r="M111" s="359"/>
      <c r="N111" s="359"/>
      <c r="O111" s="312"/>
      <c r="P111" s="312"/>
      <c r="Q111" s="312"/>
      <c r="R111" s="312"/>
      <c r="S111" s="312"/>
      <c r="T111" s="312"/>
      <c r="U111" s="399"/>
      <c r="V111" s="312">
        <v>36</v>
      </c>
      <c r="W111" s="259"/>
      <c r="X111" s="151">
        <f t="shared" si="49"/>
        <v>36</v>
      </c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</row>
    <row r="112" spans="1:35" s="174" customFormat="1" x14ac:dyDescent="0.25">
      <c r="A112" s="476"/>
      <c r="B112" s="254" t="s">
        <v>635</v>
      </c>
      <c r="C112" s="313">
        <f>SUM(C90+C98)</f>
        <v>2</v>
      </c>
      <c r="D112" s="313">
        <f>SUM(D90+D98)</f>
        <v>6</v>
      </c>
      <c r="E112" s="313">
        <f>SUM(E90+E98)</f>
        <v>6</v>
      </c>
      <c r="F112" s="313">
        <v>60</v>
      </c>
      <c r="G112" s="313">
        <f>SUM(U89+G90+G93+G98+G104+G109+G110+G111)</f>
        <v>1416</v>
      </c>
      <c r="H112" s="313">
        <f>SUM(H90+H93+H98+H104+H109+H110+H111)</f>
        <v>528</v>
      </c>
      <c r="I112" s="313">
        <f>SUM(I93+I90+I98+I109+I110+I111+60)</f>
        <v>60</v>
      </c>
      <c r="J112" s="313">
        <f>SUM(J93+J90+J98+J109+J110+J111)</f>
        <v>0</v>
      </c>
      <c r="K112" s="313">
        <f>SUM(K93+K90+K98+K109+K110+K111)</f>
        <v>0</v>
      </c>
      <c r="L112" s="313">
        <f>SUM(L93+L90+L98+L104)</f>
        <v>0</v>
      </c>
      <c r="M112" s="313">
        <f>SUM(M90+M93+M98+M104+M110+M111)</f>
        <v>852</v>
      </c>
      <c r="N112" s="313">
        <f>SUM(N93+N90+N98+N109+N110+N111)</f>
        <v>0</v>
      </c>
      <c r="O112" s="313">
        <f t="shared" ref="O112:T112" si="52">SUM(O90+O98)</f>
        <v>0</v>
      </c>
      <c r="P112" s="313">
        <f t="shared" si="52"/>
        <v>0</v>
      </c>
      <c r="Q112" s="313">
        <f t="shared" si="52"/>
        <v>0</v>
      </c>
      <c r="R112" s="313">
        <f t="shared" si="52"/>
        <v>0</v>
      </c>
      <c r="S112" s="313">
        <f t="shared" si="52"/>
        <v>0</v>
      </c>
      <c r="T112" s="313">
        <f t="shared" si="52"/>
        <v>0</v>
      </c>
      <c r="U112" s="313">
        <f>SUM(U89+U93+U90+U98+U104+U109)</f>
        <v>612</v>
      </c>
      <c r="V112" s="313">
        <f>SUM(V89+V93+V90+V98+V110+V104+V111)</f>
        <v>828</v>
      </c>
      <c r="X112" s="151">
        <f t="shared" si="49"/>
        <v>1440</v>
      </c>
      <c r="Y112" s="257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</row>
    <row r="113" spans="1:35" s="320" customFormat="1" ht="18" customHeight="1" x14ac:dyDescent="0.3">
      <c r="A113" s="487"/>
      <c r="B113" s="315" t="s">
        <v>636</v>
      </c>
      <c r="C113" s="460">
        <f t="shared" ref="C113:R113" si="53">SUM(C26+C58+C89+C112)</f>
        <v>14</v>
      </c>
      <c r="D113" s="460">
        <f t="shared" si="53"/>
        <v>45</v>
      </c>
      <c r="E113" s="460">
        <f t="shared" si="53"/>
        <v>34</v>
      </c>
      <c r="F113" s="460">
        <f t="shared" si="53"/>
        <v>240</v>
      </c>
      <c r="G113" s="460">
        <f t="shared" si="53"/>
        <v>5736</v>
      </c>
      <c r="H113" s="460">
        <f t="shared" si="53"/>
        <v>1726</v>
      </c>
      <c r="I113" s="460">
        <f t="shared" si="53"/>
        <v>1112</v>
      </c>
      <c r="J113" s="460">
        <f t="shared" si="53"/>
        <v>30</v>
      </c>
      <c r="K113" s="460">
        <f t="shared" si="53"/>
        <v>0</v>
      </c>
      <c r="L113" s="460">
        <f t="shared" si="53"/>
        <v>0</v>
      </c>
      <c r="M113" s="460">
        <f t="shared" si="53"/>
        <v>2892</v>
      </c>
      <c r="N113" s="460">
        <f t="shared" si="53"/>
        <v>0</v>
      </c>
      <c r="O113" s="460">
        <f t="shared" si="53"/>
        <v>684</v>
      </c>
      <c r="P113" s="460">
        <f t="shared" si="53"/>
        <v>756</v>
      </c>
      <c r="Q113" s="460">
        <f t="shared" si="53"/>
        <v>828</v>
      </c>
      <c r="R113" s="460">
        <f t="shared" si="53"/>
        <v>612</v>
      </c>
      <c r="S113" s="460">
        <v>612</v>
      </c>
      <c r="T113" s="460">
        <v>828</v>
      </c>
      <c r="U113" s="460">
        <v>612</v>
      </c>
      <c r="V113" s="460">
        <v>828</v>
      </c>
      <c r="W113" s="317"/>
      <c r="X113" s="151">
        <f>SUM(O113:W113)</f>
        <v>5760</v>
      </c>
      <c r="Y113" s="318"/>
      <c r="Z113" s="319">
        <f>SUM(H113:N113)</f>
        <v>5760</v>
      </c>
      <c r="AA113" s="319"/>
      <c r="AB113" s="319"/>
      <c r="AC113" s="319"/>
      <c r="AD113" s="319"/>
      <c r="AE113" s="319"/>
      <c r="AF113" s="319"/>
      <c r="AG113" s="319"/>
      <c r="AH113" s="319"/>
      <c r="AI113" s="319"/>
    </row>
    <row r="114" spans="1:35" s="184" customFormat="1" ht="26.25" customHeight="1" x14ac:dyDescent="0.3">
      <c r="A114" s="488" t="s">
        <v>637</v>
      </c>
      <c r="B114" s="322" t="s">
        <v>638</v>
      </c>
      <c r="C114" s="461"/>
      <c r="D114" s="461"/>
      <c r="E114" s="461"/>
      <c r="F114" s="313">
        <f>G114/24</f>
        <v>16</v>
      </c>
      <c r="G114" s="313">
        <v>384</v>
      </c>
      <c r="H114" s="408"/>
      <c r="I114" s="408">
        <v>384</v>
      </c>
      <c r="J114" s="408"/>
      <c r="K114" s="408"/>
      <c r="L114" s="408"/>
      <c r="M114" s="408"/>
      <c r="N114" s="408"/>
      <c r="O114" s="408">
        <v>48</v>
      </c>
      <c r="P114" s="408">
        <v>48</v>
      </c>
      <c r="Q114" s="408">
        <v>48</v>
      </c>
      <c r="R114" s="408">
        <v>48</v>
      </c>
      <c r="S114" s="408">
        <v>48</v>
      </c>
      <c r="T114" s="408">
        <v>48</v>
      </c>
      <c r="U114" s="408">
        <v>48</v>
      </c>
      <c r="V114" s="408">
        <v>48</v>
      </c>
      <c r="W114" s="172"/>
      <c r="X114" s="151">
        <f>SUM(O114:W114)</f>
        <v>384</v>
      </c>
      <c r="Y114" s="17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</row>
    <row r="115" spans="1:35" s="176" customFormat="1" ht="30" customHeight="1" x14ac:dyDescent="0.3">
      <c r="A115" s="489" t="s">
        <v>639</v>
      </c>
      <c r="B115" s="185" t="s">
        <v>640</v>
      </c>
      <c r="C115" s="355"/>
      <c r="D115" s="355"/>
      <c r="E115" s="355"/>
      <c r="F115" s="355">
        <f t="shared" ref="F115" si="54">G115/24</f>
        <v>18</v>
      </c>
      <c r="G115" s="355">
        <f>SUM(G117:G128)</f>
        <v>432</v>
      </c>
      <c r="H115" s="355">
        <f>SUM(H117:H128)</f>
        <v>0</v>
      </c>
      <c r="I115" s="355">
        <f>SUM(I117:I128)</f>
        <v>432</v>
      </c>
      <c r="J115" s="355"/>
      <c r="K115" s="355"/>
      <c r="L115" s="355"/>
      <c r="M115" s="355"/>
      <c r="N115" s="355"/>
      <c r="O115" s="355">
        <f t="shared" ref="O115:V115" si="55">SUM(O117:O128)</f>
        <v>72</v>
      </c>
      <c r="P115" s="355">
        <f t="shared" si="55"/>
        <v>72</v>
      </c>
      <c r="Q115" s="427">
        <f t="shared" si="55"/>
        <v>72</v>
      </c>
      <c r="R115" s="427">
        <f t="shared" si="55"/>
        <v>54</v>
      </c>
      <c r="S115" s="355">
        <f t="shared" si="55"/>
        <v>58</v>
      </c>
      <c r="T115" s="355">
        <f t="shared" si="55"/>
        <v>40</v>
      </c>
      <c r="U115" s="355">
        <f t="shared" si="55"/>
        <v>64</v>
      </c>
      <c r="V115" s="355">
        <f t="shared" si="55"/>
        <v>0</v>
      </c>
      <c r="W115" s="150"/>
      <c r="X115" s="151">
        <f t="shared" ref="X115:X130" si="56">SUM(O115:W115)</f>
        <v>432</v>
      </c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</row>
    <row r="116" spans="1:35" s="176" customFormat="1" x14ac:dyDescent="0.3">
      <c r="A116" s="489"/>
      <c r="B116" s="189" t="s">
        <v>641</v>
      </c>
      <c r="C116" s="431"/>
      <c r="D116" s="431"/>
      <c r="E116" s="431"/>
      <c r="F116" s="431"/>
      <c r="G116" s="431"/>
      <c r="H116" s="431"/>
      <c r="I116" s="431"/>
      <c r="J116" s="431"/>
      <c r="K116" s="431"/>
      <c r="L116" s="431"/>
      <c r="M116" s="431"/>
      <c r="N116" s="431"/>
      <c r="O116" s="459">
        <v>72</v>
      </c>
      <c r="P116" s="459">
        <v>76</v>
      </c>
      <c r="Q116" s="459">
        <v>84</v>
      </c>
      <c r="R116" s="459">
        <v>64</v>
      </c>
      <c r="S116" s="459">
        <v>88</v>
      </c>
      <c r="T116" s="459">
        <v>40</v>
      </c>
      <c r="U116" s="459">
        <v>88</v>
      </c>
      <c r="V116" s="431"/>
      <c r="W116" s="150"/>
      <c r="X116" s="151">
        <f t="shared" si="56"/>
        <v>512</v>
      </c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</row>
    <row r="117" spans="1:35" s="153" customFormat="1" ht="15" customHeight="1" x14ac:dyDescent="0.3">
      <c r="A117" s="489" t="s">
        <v>642</v>
      </c>
      <c r="B117" s="186" t="s">
        <v>643</v>
      </c>
      <c r="C117" s="412"/>
      <c r="D117" s="412"/>
      <c r="E117" s="412"/>
      <c r="F117" s="432">
        <f t="shared" ref="F117:F128" si="57">G117/24</f>
        <v>4</v>
      </c>
      <c r="G117" s="431">
        <v>96</v>
      </c>
      <c r="H117" s="435"/>
      <c r="I117" s="412">
        <v>96</v>
      </c>
      <c r="J117" s="412"/>
      <c r="K117" s="412"/>
      <c r="L117" s="412"/>
      <c r="M117" s="435"/>
      <c r="N117" s="435"/>
      <c r="O117" s="412"/>
      <c r="P117" s="312"/>
      <c r="Q117" s="412">
        <v>24</v>
      </c>
      <c r="R117" s="412">
        <v>18</v>
      </c>
      <c r="S117" s="432">
        <v>26</v>
      </c>
      <c r="T117" s="432"/>
      <c r="U117" s="354">
        <v>28</v>
      </c>
      <c r="V117" s="432"/>
      <c r="W117" s="150"/>
      <c r="X117" s="151">
        <f>SUM(O117:W117)</f>
        <v>96</v>
      </c>
      <c r="Y117" s="152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</row>
    <row r="118" spans="1:35" s="153" customFormat="1" ht="15" customHeight="1" x14ac:dyDescent="0.3">
      <c r="A118" s="489" t="s">
        <v>644</v>
      </c>
      <c r="B118" s="186" t="s">
        <v>645</v>
      </c>
      <c r="C118" s="412"/>
      <c r="D118" s="412"/>
      <c r="E118" s="412"/>
      <c r="F118" s="432">
        <f t="shared" si="57"/>
        <v>1</v>
      </c>
      <c r="G118" s="431">
        <v>24</v>
      </c>
      <c r="H118" s="435"/>
      <c r="I118" s="412">
        <v>24</v>
      </c>
      <c r="J118" s="412"/>
      <c r="K118" s="412"/>
      <c r="L118" s="412"/>
      <c r="M118" s="435"/>
      <c r="N118" s="435"/>
      <c r="O118" s="432"/>
      <c r="P118" s="432"/>
      <c r="Q118" s="432"/>
      <c r="R118" s="432"/>
      <c r="S118" s="432"/>
      <c r="T118" s="432"/>
      <c r="U118" s="354">
        <v>24</v>
      </c>
      <c r="V118" s="432"/>
      <c r="W118" s="150"/>
      <c r="X118" s="151">
        <f t="shared" ref="X118:X128" si="58">SUM(O118:W118)</f>
        <v>24</v>
      </c>
      <c r="Y118" s="152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</row>
    <row r="119" spans="1:35" s="153" customFormat="1" ht="15" customHeight="1" x14ac:dyDescent="0.3">
      <c r="A119" s="489" t="s">
        <v>646</v>
      </c>
      <c r="B119" s="186" t="s">
        <v>647</v>
      </c>
      <c r="C119" s="412"/>
      <c r="D119" s="412"/>
      <c r="E119" s="412"/>
      <c r="F119" s="432">
        <f t="shared" si="57"/>
        <v>0.5</v>
      </c>
      <c r="G119" s="431">
        <v>12</v>
      </c>
      <c r="H119" s="435"/>
      <c r="I119" s="412">
        <v>12</v>
      </c>
      <c r="J119" s="412"/>
      <c r="K119" s="412"/>
      <c r="L119" s="412"/>
      <c r="M119" s="435"/>
      <c r="N119" s="435"/>
      <c r="O119" s="432">
        <v>12</v>
      </c>
      <c r="P119" s="432"/>
      <c r="Q119" s="432"/>
      <c r="R119" s="432"/>
      <c r="S119" s="432"/>
      <c r="T119" s="432"/>
      <c r="U119" s="354"/>
      <c r="V119" s="432"/>
      <c r="W119" s="150"/>
      <c r="X119" s="151">
        <f t="shared" si="58"/>
        <v>12</v>
      </c>
      <c r="Y119" s="152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</row>
    <row r="120" spans="1:35" s="153" customFormat="1" ht="15" customHeight="1" x14ac:dyDescent="0.3">
      <c r="A120" s="489" t="s">
        <v>648</v>
      </c>
      <c r="B120" s="188" t="s">
        <v>649</v>
      </c>
      <c r="C120" s="412"/>
      <c r="D120" s="412"/>
      <c r="E120" s="412"/>
      <c r="F120" s="432">
        <f t="shared" si="57"/>
        <v>3.5</v>
      </c>
      <c r="G120" s="431">
        <v>84</v>
      </c>
      <c r="H120" s="435"/>
      <c r="I120" s="412">
        <v>84</v>
      </c>
      <c r="J120" s="412"/>
      <c r="K120" s="412"/>
      <c r="L120" s="412"/>
      <c r="M120" s="435"/>
      <c r="N120" s="435"/>
      <c r="O120" s="432">
        <v>36</v>
      </c>
      <c r="P120" s="432">
        <v>48</v>
      </c>
      <c r="Q120" s="432"/>
      <c r="R120" s="432"/>
      <c r="S120" s="432"/>
      <c r="T120" s="432"/>
      <c r="U120" s="354"/>
      <c r="V120" s="432"/>
      <c r="W120" s="150"/>
      <c r="X120" s="151">
        <f t="shared" si="58"/>
        <v>84</v>
      </c>
      <c r="Y120" s="152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</row>
    <row r="121" spans="1:35" s="153" customFormat="1" ht="15" customHeight="1" x14ac:dyDescent="0.3">
      <c r="A121" s="489" t="s">
        <v>650</v>
      </c>
      <c r="B121" s="186" t="s">
        <v>651</v>
      </c>
      <c r="C121" s="412"/>
      <c r="D121" s="412"/>
      <c r="E121" s="412"/>
      <c r="F121" s="432">
        <f>G121/24</f>
        <v>2</v>
      </c>
      <c r="G121" s="431">
        <v>48</v>
      </c>
      <c r="H121" s="435"/>
      <c r="I121" s="412">
        <v>48</v>
      </c>
      <c r="J121" s="412"/>
      <c r="K121" s="412"/>
      <c r="L121" s="412"/>
      <c r="M121" s="435"/>
      <c r="N121" s="435"/>
      <c r="O121" s="412">
        <v>24</v>
      </c>
      <c r="P121" s="412">
        <v>24</v>
      </c>
      <c r="Q121" s="412"/>
      <c r="R121" s="432"/>
      <c r="S121" s="432"/>
      <c r="T121" s="432"/>
      <c r="U121" s="354"/>
      <c r="V121" s="432"/>
      <c r="W121" s="150"/>
      <c r="X121" s="151">
        <f t="shared" si="58"/>
        <v>48</v>
      </c>
      <c r="Y121" s="152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</row>
    <row r="122" spans="1:35" s="153" customFormat="1" x14ac:dyDescent="0.3">
      <c r="A122" s="489" t="s">
        <v>652</v>
      </c>
      <c r="B122" s="186" t="s">
        <v>653</v>
      </c>
      <c r="C122" s="412"/>
      <c r="D122" s="412"/>
      <c r="E122" s="412"/>
      <c r="F122" s="432">
        <f>G122/24</f>
        <v>0.5</v>
      </c>
      <c r="G122" s="431">
        <v>12</v>
      </c>
      <c r="H122" s="435"/>
      <c r="I122" s="412">
        <v>12</v>
      </c>
      <c r="J122" s="412"/>
      <c r="K122" s="412"/>
      <c r="L122" s="412"/>
      <c r="M122" s="435"/>
      <c r="N122" s="435"/>
      <c r="O122" s="412"/>
      <c r="P122" s="412"/>
      <c r="Q122" s="412"/>
      <c r="R122" s="432"/>
      <c r="S122" s="432">
        <v>12</v>
      </c>
      <c r="T122" s="432"/>
      <c r="U122" s="354"/>
      <c r="V122" s="432"/>
      <c r="W122" s="150"/>
      <c r="X122" s="151">
        <f t="shared" si="58"/>
        <v>12</v>
      </c>
      <c r="Y122" s="152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</row>
    <row r="123" spans="1:35" s="153" customFormat="1" x14ac:dyDescent="0.3">
      <c r="A123" s="489" t="s">
        <v>654</v>
      </c>
      <c r="B123" s="186" t="s">
        <v>655</v>
      </c>
      <c r="C123" s="412"/>
      <c r="D123" s="412"/>
      <c r="E123" s="412"/>
      <c r="F123" s="432">
        <f>G123/24</f>
        <v>0.5</v>
      </c>
      <c r="G123" s="431">
        <v>12</v>
      </c>
      <c r="H123" s="435"/>
      <c r="I123" s="412">
        <v>12</v>
      </c>
      <c r="J123" s="412"/>
      <c r="K123" s="412"/>
      <c r="L123" s="412"/>
      <c r="M123" s="435"/>
      <c r="N123" s="435"/>
      <c r="O123" s="412"/>
      <c r="P123" s="412"/>
      <c r="Q123" s="412"/>
      <c r="R123" s="432"/>
      <c r="S123" s="432"/>
      <c r="T123" s="432">
        <v>12</v>
      </c>
      <c r="U123" s="354"/>
      <c r="V123" s="432"/>
      <c r="W123" s="150"/>
      <c r="X123" s="151">
        <f t="shared" si="58"/>
        <v>12</v>
      </c>
      <c r="Y123" s="152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</row>
    <row r="124" spans="1:35" s="153" customFormat="1" ht="26.4" x14ac:dyDescent="0.3">
      <c r="A124" s="489" t="s">
        <v>656</v>
      </c>
      <c r="B124" s="186" t="s">
        <v>657</v>
      </c>
      <c r="C124" s="412"/>
      <c r="D124" s="412"/>
      <c r="E124" s="412"/>
      <c r="F124" s="432">
        <f t="shared" si="57"/>
        <v>2</v>
      </c>
      <c r="G124" s="431">
        <v>48</v>
      </c>
      <c r="H124" s="435"/>
      <c r="I124" s="412">
        <v>48</v>
      </c>
      <c r="J124" s="412"/>
      <c r="K124" s="412"/>
      <c r="L124" s="412"/>
      <c r="M124" s="435"/>
      <c r="N124" s="435"/>
      <c r="O124" s="432"/>
      <c r="P124" s="432"/>
      <c r="Q124" s="432"/>
      <c r="R124" s="432"/>
      <c r="S124" s="432">
        <v>20</v>
      </c>
      <c r="T124" s="432">
        <v>28</v>
      </c>
      <c r="U124" s="354"/>
      <c r="V124" s="432"/>
      <c r="W124" s="150"/>
      <c r="X124" s="151">
        <f t="shared" si="58"/>
        <v>48</v>
      </c>
      <c r="Y124" s="152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</row>
    <row r="125" spans="1:35" s="153" customFormat="1" x14ac:dyDescent="0.3">
      <c r="A125" s="489" t="s">
        <v>658</v>
      </c>
      <c r="B125" s="186" t="s">
        <v>659</v>
      </c>
      <c r="C125" s="412"/>
      <c r="D125" s="412"/>
      <c r="E125" s="412"/>
      <c r="F125" s="432">
        <f t="shared" si="57"/>
        <v>1</v>
      </c>
      <c r="G125" s="431">
        <v>24</v>
      </c>
      <c r="H125" s="435"/>
      <c r="I125" s="412">
        <v>24</v>
      </c>
      <c r="J125" s="412"/>
      <c r="K125" s="412"/>
      <c r="L125" s="412"/>
      <c r="M125" s="435"/>
      <c r="N125" s="435"/>
      <c r="O125" s="432"/>
      <c r="P125" s="432"/>
      <c r="Q125" s="432">
        <v>24</v>
      </c>
      <c r="R125" s="432"/>
      <c r="S125" s="432"/>
      <c r="T125" s="432"/>
      <c r="U125" s="354"/>
      <c r="V125" s="432"/>
      <c r="W125" s="150"/>
      <c r="X125" s="151">
        <f t="shared" si="58"/>
        <v>24</v>
      </c>
      <c r="Y125" s="152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</row>
    <row r="126" spans="1:35" s="153" customFormat="1" x14ac:dyDescent="0.3">
      <c r="A126" s="489" t="s">
        <v>660</v>
      </c>
      <c r="B126" s="186" t="s">
        <v>661</v>
      </c>
      <c r="C126" s="412"/>
      <c r="D126" s="412"/>
      <c r="E126" s="412"/>
      <c r="F126" s="432">
        <f t="shared" si="57"/>
        <v>1</v>
      </c>
      <c r="G126" s="431">
        <v>24</v>
      </c>
      <c r="H126" s="435"/>
      <c r="I126" s="412">
        <v>24</v>
      </c>
      <c r="J126" s="412"/>
      <c r="K126" s="412"/>
      <c r="L126" s="412"/>
      <c r="M126" s="435"/>
      <c r="N126" s="435"/>
      <c r="O126" s="432"/>
      <c r="P126" s="432"/>
      <c r="Q126" s="432">
        <v>24</v>
      </c>
      <c r="R126" s="432"/>
      <c r="S126" s="432"/>
      <c r="T126" s="432"/>
      <c r="U126" s="354"/>
      <c r="V126" s="432"/>
      <c r="W126" s="150"/>
      <c r="X126" s="151">
        <f t="shared" si="58"/>
        <v>24</v>
      </c>
      <c r="Y126" s="152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</row>
    <row r="127" spans="1:35" s="153" customFormat="1" x14ac:dyDescent="0.3">
      <c r="A127" s="489" t="s">
        <v>662</v>
      </c>
      <c r="B127" s="186" t="s">
        <v>663</v>
      </c>
      <c r="C127" s="412"/>
      <c r="D127" s="412"/>
      <c r="E127" s="412"/>
      <c r="F127" s="432">
        <f t="shared" si="57"/>
        <v>1.5</v>
      </c>
      <c r="G127" s="431">
        <v>36</v>
      </c>
      <c r="H127" s="435"/>
      <c r="I127" s="412">
        <v>36</v>
      </c>
      <c r="J127" s="412"/>
      <c r="K127" s="412"/>
      <c r="L127" s="412"/>
      <c r="M127" s="435"/>
      <c r="N127" s="435"/>
      <c r="O127" s="432"/>
      <c r="P127" s="432"/>
      <c r="Q127" s="432"/>
      <c r="R127" s="432">
        <v>36</v>
      </c>
      <c r="S127" s="432"/>
      <c r="T127" s="432"/>
      <c r="U127" s="354"/>
      <c r="V127" s="432"/>
      <c r="W127" s="150"/>
      <c r="X127" s="151">
        <f t="shared" si="58"/>
        <v>36</v>
      </c>
      <c r="Y127" s="152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</row>
    <row r="128" spans="1:35" s="153" customFormat="1" x14ac:dyDescent="0.3">
      <c r="A128" s="489" t="s">
        <v>664</v>
      </c>
      <c r="B128" s="186" t="s">
        <v>665</v>
      </c>
      <c r="C128" s="412"/>
      <c r="D128" s="412"/>
      <c r="E128" s="412"/>
      <c r="F128" s="432">
        <f t="shared" si="57"/>
        <v>0.5</v>
      </c>
      <c r="G128" s="431">
        <v>12</v>
      </c>
      <c r="H128" s="435"/>
      <c r="I128" s="412">
        <v>12</v>
      </c>
      <c r="J128" s="412"/>
      <c r="K128" s="412"/>
      <c r="L128" s="412"/>
      <c r="M128" s="435"/>
      <c r="N128" s="435"/>
      <c r="O128" s="412"/>
      <c r="P128" s="412"/>
      <c r="Q128" s="412"/>
      <c r="R128" s="412"/>
      <c r="S128" s="412"/>
      <c r="T128" s="412"/>
      <c r="U128" s="399">
        <v>12</v>
      </c>
      <c r="V128" s="412"/>
      <c r="W128" s="150"/>
      <c r="X128" s="151">
        <f t="shared" si="58"/>
        <v>12</v>
      </c>
      <c r="Y128" s="152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</row>
    <row r="129" spans="1:35" s="328" customFormat="1" x14ac:dyDescent="0.25">
      <c r="A129" s="490"/>
      <c r="B129" s="325" t="s">
        <v>666</v>
      </c>
      <c r="C129" s="462">
        <f>SUM(C113:C115)</f>
        <v>14</v>
      </c>
      <c r="D129" s="462">
        <f t="shared" ref="D129:V129" si="59">SUM(D113:D115)</f>
        <v>45</v>
      </c>
      <c r="E129" s="462">
        <f t="shared" si="59"/>
        <v>34</v>
      </c>
      <c r="F129" s="462">
        <f t="shared" si="59"/>
        <v>274</v>
      </c>
      <c r="G129" s="462">
        <f t="shared" si="59"/>
        <v>6552</v>
      </c>
      <c r="H129" s="462">
        <f t="shared" si="59"/>
        <v>1726</v>
      </c>
      <c r="I129" s="462">
        <f>SUM(I113:I115)</f>
        <v>1928</v>
      </c>
      <c r="J129" s="462">
        <f t="shared" si="59"/>
        <v>30</v>
      </c>
      <c r="K129" s="462"/>
      <c r="L129" s="462"/>
      <c r="M129" s="462">
        <f t="shared" si="59"/>
        <v>2892</v>
      </c>
      <c r="N129" s="462">
        <f t="shared" si="59"/>
        <v>0</v>
      </c>
      <c r="O129" s="462">
        <f t="shared" si="59"/>
        <v>804</v>
      </c>
      <c r="P129" s="462">
        <f t="shared" si="59"/>
        <v>876</v>
      </c>
      <c r="Q129" s="462">
        <f t="shared" si="59"/>
        <v>948</v>
      </c>
      <c r="R129" s="462">
        <f t="shared" si="59"/>
        <v>714</v>
      </c>
      <c r="S129" s="462">
        <f t="shared" si="59"/>
        <v>718</v>
      </c>
      <c r="T129" s="462">
        <f t="shared" si="59"/>
        <v>916</v>
      </c>
      <c r="U129" s="462">
        <f t="shared" si="59"/>
        <v>724</v>
      </c>
      <c r="V129" s="462">
        <f t="shared" si="59"/>
        <v>876</v>
      </c>
      <c r="W129" s="326"/>
      <c r="X129" s="151">
        <f>SUM(O129:W129)</f>
        <v>6576</v>
      </c>
      <c r="Y129" s="25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</row>
    <row r="130" spans="1:35" x14ac:dyDescent="0.25">
      <c r="X130" s="151">
        <f t="shared" si="56"/>
        <v>0</v>
      </c>
      <c r="Y130" s="135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</row>
    <row r="131" spans="1:35" ht="45.75" customHeight="1" x14ac:dyDescent="0.25">
      <c r="X131" s="134"/>
      <c r="Y131" s="135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</row>
    <row r="132" spans="1:35" x14ac:dyDescent="0.25">
      <c r="X132" s="134"/>
      <c r="Y132" s="135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</row>
    <row r="133" spans="1:35" x14ac:dyDescent="0.25">
      <c r="X133" s="134"/>
      <c r="Y133" s="135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</row>
    <row r="134" spans="1:35" x14ac:dyDescent="0.25">
      <c r="X134" s="134"/>
      <c r="Y134" s="135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</row>
    <row r="135" spans="1:35" x14ac:dyDescent="0.25">
      <c r="X135" s="134"/>
      <c r="Y135" s="135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</row>
    <row r="136" spans="1:35" x14ac:dyDescent="0.25">
      <c r="X136" s="134"/>
      <c r="Y136" s="135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</row>
    <row r="137" spans="1:35" x14ac:dyDescent="0.25">
      <c r="X137" s="134"/>
      <c r="Y137" s="135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</row>
    <row r="138" spans="1:35" x14ac:dyDescent="0.25">
      <c r="O138" s="463" t="s">
        <v>667</v>
      </c>
      <c r="X138" s="134"/>
      <c r="Y138" s="135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</row>
    <row r="139" spans="1:35" x14ac:dyDescent="0.25">
      <c r="X139" s="134"/>
      <c r="Y139" s="135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</row>
    <row r="140" spans="1:35" x14ac:dyDescent="0.25">
      <c r="X140" s="134"/>
      <c r="Y140" s="135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</row>
    <row r="141" spans="1:35" x14ac:dyDescent="0.25">
      <c r="X141" s="134"/>
      <c r="Y141" s="135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</row>
    <row r="142" spans="1:35" x14ac:dyDescent="0.25">
      <c r="X142" s="134"/>
      <c r="Y142" s="135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</row>
    <row r="143" spans="1:35" x14ac:dyDescent="0.25">
      <c r="X143" s="134"/>
      <c r="Y143" s="135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</row>
    <row r="144" spans="1:35" x14ac:dyDescent="0.25">
      <c r="X144" s="134"/>
      <c r="Y144" s="135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</row>
    <row r="145" spans="24:35" x14ac:dyDescent="0.25">
      <c r="X145" s="134"/>
      <c r="Y145" s="135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</row>
    <row r="146" spans="24:35" x14ac:dyDescent="0.25">
      <c r="X146" s="134"/>
      <c r="Y146" s="135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</row>
    <row r="147" spans="24:35" x14ac:dyDescent="0.25">
      <c r="X147" s="134"/>
      <c r="Y147" s="135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</row>
    <row r="148" spans="24:35" x14ac:dyDescent="0.25">
      <c r="X148" s="134"/>
      <c r="Y148" s="135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</row>
    <row r="149" spans="24:35" x14ac:dyDescent="0.25">
      <c r="X149" s="134"/>
      <c r="Y149" s="135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</row>
    <row r="150" spans="24:35" x14ac:dyDescent="0.25">
      <c r="X150" s="134"/>
      <c r="Y150" s="135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</row>
    <row r="151" spans="24:35" x14ac:dyDescent="0.25">
      <c r="X151" s="134"/>
      <c r="Y151" s="135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</row>
    <row r="152" spans="24:35" x14ac:dyDescent="0.25">
      <c r="X152" s="134"/>
      <c r="Y152" s="135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</row>
    <row r="153" spans="24:35" x14ac:dyDescent="0.25">
      <c r="X153" s="134"/>
      <c r="Y153" s="135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</row>
  </sheetData>
  <autoFilter ref="B5:V128" xr:uid="{00000000-0009-0000-0000-000009000000}"/>
  <mergeCells count="20">
    <mergeCell ref="A1:V1"/>
    <mergeCell ref="A2:A4"/>
    <mergeCell ref="B2:B4"/>
    <mergeCell ref="C2:E2"/>
    <mergeCell ref="F2:J2"/>
    <mergeCell ref="K2:K4"/>
    <mergeCell ref="L2:L4"/>
    <mergeCell ref="M2:N2"/>
    <mergeCell ref="O2:V2"/>
    <mergeCell ref="C3:C4"/>
    <mergeCell ref="O3:P3"/>
    <mergeCell ref="Q3:R3"/>
    <mergeCell ref="S3:T3"/>
    <mergeCell ref="U3:V3"/>
    <mergeCell ref="D3:D4"/>
    <mergeCell ref="E3:E4"/>
    <mergeCell ref="F3:F4"/>
    <mergeCell ref="G3:G4"/>
    <mergeCell ref="H3:J3"/>
    <mergeCell ref="M3:N3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1"/>
  <sheetViews>
    <sheetView topLeftCell="A3" zoomScale="90" zoomScaleNormal="90" workbookViewId="0">
      <selection activeCell="P17" sqref="P17"/>
    </sheetView>
  </sheetViews>
  <sheetFormatPr defaultColWidth="9.109375" defaultRowHeight="13.2" x14ac:dyDescent="0.25"/>
  <cols>
    <col min="1" max="1" width="7" style="18" customWidth="1"/>
    <col min="2" max="2" width="85.109375" style="11" customWidth="1"/>
    <col min="3" max="14" width="6.109375" style="365" customWidth="1"/>
    <col min="15" max="16384" width="9.109375" style="11"/>
  </cols>
  <sheetData>
    <row r="1" spans="1:20" ht="24" customHeight="1" x14ac:dyDescent="0.25">
      <c r="A1" s="655" t="s">
        <v>805</v>
      </c>
      <c r="B1" s="656"/>
      <c r="C1" s="362"/>
      <c r="D1" s="362"/>
      <c r="E1" s="363"/>
    </row>
    <row r="2" spans="1:20" hidden="1" x14ac:dyDescent="0.25">
      <c r="A2" s="16"/>
      <c r="B2" s="13"/>
      <c r="C2" s="366"/>
      <c r="D2" s="366"/>
      <c r="E2" s="367"/>
    </row>
    <row r="3" spans="1:20" ht="165" customHeight="1" x14ac:dyDescent="0.25">
      <c r="A3" s="360" t="s">
        <v>3</v>
      </c>
      <c r="B3" s="34" t="s">
        <v>803</v>
      </c>
      <c r="C3" s="368" t="s">
        <v>503</v>
      </c>
      <c r="D3" s="369" t="s">
        <v>508</v>
      </c>
      <c r="E3" s="370" t="s">
        <v>683</v>
      </c>
      <c r="F3" s="369" t="s">
        <v>513</v>
      </c>
      <c r="G3" s="369" t="s">
        <v>515</v>
      </c>
      <c r="H3" s="369" t="s">
        <v>517</v>
      </c>
      <c r="I3" s="369" t="s">
        <v>624</v>
      </c>
      <c r="J3" s="369" t="s">
        <v>626</v>
      </c>
      <c r="K3" s="369" t="s">
        <v>628</v>
      </c>
      <c r="L3" s="369" t="s">
        <v>630</v>
      </c>
      <c r="M3" s="369" t="s">
        <v>447</v>
      </c>
      <c r="N3" s="373"/>
      <c r="O3" s="373"/>
      <c r="P3" s="373"/>
      <c r="Q3" s="373"/>
      <c r="R3" s="373"/>
      <c r="S3" s="373"/>
      <c r="T3" s="13"/>
    </row>
    <row r="4" spans="1:20" ht="25.5" customHeight="1" x14ac:dyDescent="0.25">
      <c r="A4" s="167" t="s">
        <v>499</v>
      </c>
      <c r="B4" s="167" t="s">
        <v>804</v>
      </c>
      <c r="C4" s="375">
        <v>276</v>
      </c>
      <c r="D4" s="381"/>
      <c r="E4" s="381"/>
      <c r="F4" s="381"/>
      <c r="G4" s="381"/>
      <c r="H4" s="381"/>
      <c r="I4" s="381"/>
      <c r="J4" s="381"/>
      <c r="K4" s="381"/>
      <c r="L4" s="381"/>
      <c r="M4" s="392">
        <f>SUM(C4:L4)</f>
        <v>276</v>
      </c>
      <c r="N4" s="391"/>
      <c r="O4" s="391"/>
      <c r="P4" s="13"/>
    </row>
    <row r="5" spans="1:20" ht="25.5" customHeight="1" x14ac:dyDescent="0.25">
      <c r="A5" s="175" t="s">
        <v>685</v>
      </c>
      <c r="B5" s="178" t="s">
        <v>686</v>
      </c>
      <c r="C5" s="388">
        <v>138</v>
      </c>
      <c r="D5" s="12"/>
      <c r="E5" s="12"/>
      <c r="F5" s="12"/>
      <c r="G5" s="12"/>
      <c r="H5" s="12"/>
      <c r="I5" s="12"/>
      <c r="J5" s="12"/>
      <c r="K5" s="12"/>
      <c r="L5" s="12"/>
      <c r="M5" s="390">
        <f t="shared" ref="M5:M20" si="0">SUM(C5:L5)</f>
        <v>138</v>
      </c>
      <c r="N5" s="13"/>
      <c r="O5" s="13"/>
      <c r="P5" s="391"/>
    </row>
    <row r="6" spans="1:20" ht="25.5" customHeight="1" x14ac:dyDescent="0.25">
      <c r="A6" s="175" t="s">
        <v>688</v>
      </c>
      <c r="B6" s="178" t="s">
        <v>687</v>
      </c>
      <c r="C6" s="389">
        <v>138</v>
      </c>
      <c r="D6" s="12"/>
      <c r="E6" s="12"/>
      <c r="F6" s="12"/>
      <c r="G6" s="12"/>
      <c r="H6" s="12"/>
      <c r="I6" s="12"/>
      <c r="J6" s="12"/>
      <c r="K6" s="12"/>
      <c r="L6" s="12"/>
      <c r="M6" s="390">
        <f t="shared" si="0"/>
        <v>138</v>
      </c>
      <c r="N6" s="11"/>
    </row>
    <row r="7" spans="1:20" ht="25.5" customHeight="1" x14ac:dyDescent="0.25">
      <c r="A7" s="167" t="s">
        <v>504</v>
      </c>
      <c r="B7" s="168" t="s">
        <v>505</v>
      </c>
      <c r="C7" s="378"/>
      <c r="D7" s="364">
        <v>24</v>
      </c>
      <c r="E7" s="381"/>
      <c r="F7" s="381"/>
      <c r="G7" s="381"/>
      <c r="H7" s="381"/>
      <c r="I7" s="381"/>
      <c r="J7" s="381"/>
      <c r="K7" s="381"/>
      <c r="L7" s="381"/>
      <c r="M7" s="392">
        <f t="shared" si="0"/>
        <v>24</v>
      </c>
      <c r="N7" s="11"/>
    </row>
    <row r="8" spans="1:20" ht="25.5" customHeight="1" x14ac:dyDescent="0.25">
      <c r="A8" s="175" t="s">
        <v>689</v>
      </c>
      <c r="B8" s="178" t="s">
        <v>691</v>
      </c>
      <c r="C8" s="376"/>
      <c r="D8" s="386">
        <v>12</v>
      </c>
      <c r="E8" s="12"/>
      <c r="F8" s="12"/>
      <c r="G8" s="12"/>
      <c r="H8" s="12"/>
      <c r="I8" s="12"/>
      <c r="J8" s="12"/>
      <c r="K8" s="12"/>
      <c r="L8" s="12"/>
      <c r="M8" s="390">
        <f t="shared" si="0"/>
        <v>12</v>
      </c>
      <c r="N8" s="11"/>
    </row>
    <row r="9" spans="1:20" ht="25.5" customHeight="1" x14ac:dyDescent="0.25">
      <c r="A9" s="175" t="s">
        <v>690</v>
      </c>
      <c r="B9" s="178" t="s">
        <v>692</v>
      </c>
      <c r="C9" s="376"/>
      <c r="D9" s="387">
        <v>12</v>
      </c>
      <c r="E9" s="12"/>
      <c r="F9" s="12"/>
      <c r="G9" s="12"/>
      <c r="H9" s="12"/>
      <c r="I9" s="12"/>
      <c r="J9" s="371"/>
      <c r="K9" s="194"/>
      <c r="L9" s="189"/>
      <c r="M9" s="390">
        <f t="shared" si="0"/>
        <v>12</v>
      </c>
      <c r="N9" s="366"/>
    </row>
    <row r="10" spans="1:20" ht="25.5" customHeight="1" x14ac:dyDescent="0.25">
      <c r="A10" s="168" t="s">
        <v>509</v>
      </c>
      <c r="B10" s="168" t="s">
        <v>510</v>
      </c>
      <c r="C10" s="375"/>
      <c r="D10" s="375"/>
      <c r="E10" s="375">
        <f>SUM(E11:E15)</f>
        <v>48</v>
      </c>
      <c r="F10" s="375">
        <f t="shared" ref="F10:H10" si="1">SUM(F11:F15)</f>
        <v>36</v>
      </c>
      <c r="G10" s="375">
        <f t="shared" si="1"/>
        <v>48</v>
      </c>
      <c r="H10" s="375">
        <f t="shared" si="1"/>
        <v>36</v>
      </c>
      <c r="I10" s="382"/>
      <c r="J10" s="382"/>
      <c r="K10" s="382"/>
      <c r="L10" s="382"/>
      <c r="M10" s="392">
        <f t="shared" si="0"/>
        <v>168</v>
      </c>
      <c r="N10" s="366"/>
    </row>
    <row r="11" spans="1:20" ht="25.5" customHeight="1" x14ac:dyDescent="0.25">
      <c r="A11" s="175" t="s">
        <v>693</v>
      </c>
      <c r="B11" s="178" t="s">
        <v>694</v>
      </c>
      <c r="C11" s="376"/>
      <c r="D11" s="376"/>
      <c r="E11" s="376"/>
      <c r="F11" s="383">
        <v>12</v>
      </c>
      <c r="G11" s="383"/>
      <c r="H11" s="383"/>
      <c r="I11" s="377"/>
      <c r="J11" s="377"/>
      <c r="K11" s="384"/>
      <c r="L11" s="385"/>
      <c r="M11" s="390">
        <f t="shared" si="0"/>
        <v>12</v>
      </c>
      <c r="N11" s="366"/>
    </row>
    <row r="12" spans="1:20" ht="25.5" customHeight="1" x14ac:dyDescent="0.25">
      <c r="A12" s="175" t="s">
        <v>698</v>
      </c>
      <c r="B12" s="178" t="s">
        <v>798</v>
      </c>
      <c r="C12" s="376"/>
      <c r="D12" s="376"/>
      <c r="E12" s="383">
        <v>24</v>
      </c>
      <c r="F12" s="383">
        <v>12</v>
      </c>
      <c r="G12" s="383">
        <v>12</v>
      </c>
      <c r="H12" s="383"/>
      <c r="I12" s="380"/>
      <c r="J12" s="377"/>
      <c r="K12" s="384"/>
      <c r="L12" s="385"/>
      <c r="M12" s="390">
        <f t="shared" si="0"/>
        <v>48</v>
      </c>
      <c r="N12" s="366"/>
    </row>
    <row r="13" spans="1:20" ht="25.5" customHeight="1" x14ac:dyDescent="0.25">
      <c r="A13" s="175" t="s">
        <v>699</v>
      </c>
      <c r="B13" s="178" t="s">
        <v>695</v>
      </c>
      <c r="C13" s="376"/>
      <c r="D13" s="376"/>
      <c r="E13" s="377"/>
      <c r="F13" s="383"/>
      <c r="G13" s="383">
        <v>24</v>
      </c>
      <c r="H13" s="383">
        <v>12</v>
      </c>
      <c r="I13" s="380"/>
      <c r="J13" s="377"/>
      <c r="K13" s="384"/>
      <c r="L13" s="377"/>
      <c r="M13" s="390">
        <f t="shared" si="0"/>
        <v>36</v>
      </c>
      <c r="N13" s="366"/>
    </row>
    <row r="14" spans="1:20" ht="25.5" customHeight="1" x14ac:dyDescent="0.25">
      <c r="A14" s="175" t="s">
        <v>700</v>
      </c>
      <c r="B14" s="178" t="s">
        <v>696</v>
      </c>
      <c r="C14" s="376"/>
      <c r="D14" s="376"/>
      <c r="E14" s="383">
        <v>24</v>
      </c>
      <c r="F14" s="383">
        <v>12</v>
      </c>
      <c r="G14" s="383">
        <v>12</v>
      </c>
      <c r="H14" s="383">
        <v>12</v>
      </c>
      <c r="I14" s="380"/>
      <c r="J14" s="377"/>
      <c r="K14" s="384"/>
      <c r="L14" s="377"/>
      <c r="M14" s="390">
        <f t="shared" si="0"/>
        <v>60</v>
      </c>
      <c r="N14" s="366"/>
    </row>
    <row r="15" spans="1:20" ht="25.5" customHeight="1" x14ac:dyDescent="0.25">
      <c r="A15" s="175" t="s">
        <v>701</v>
      </c>
      <c r="B15" s="178" t="s">
        <v>697</v>
      </c>
      <c r="C15" s="377"/>
      <c r="D15" s="377"/>
      <c r="E15" s="377"/>
      <c r="F15" s="383"/>
      <c r="G15" s="383"/>
      <c r="H15" s="383">
        <v>12</v>
      </c>
      <c r="I15" s="377"/>
      <c r="J15" s="377"/>
      <c r="K15" s="384"/>
      <c r="L15" s="377"/>
      <c r="M15" s="390">
        <f t="shared" si="0"/>
        <v>12</v>
      </c>
    </row>
    <row r="16" spans="1:20" ht="24.75" customHeight="1" x14ac:dyDescent="0.25">
      <c r="A16" s="168" t="s">
        <v>620</v>
      </c>
      <c r="B16" s="168" t="s">
        <v>621</v>
      </c>
      <c r="C16" s="375"/>
      <c r="D16" s="375"/>
      <c r="E16" s="375"/>
      <c r="F16" s="375"/>
      <c r="G16" s="375"/>
      <c r="H16" s="375"/>
      <c r="I16" s="375">
        <f>SUM(I17:I20)</f>
        <v>36</v>
      </c>
      <c r="J16" s="375">
        <f t="shared" ref="J16:L16" si="2">SUM(J17:J20)</f>
        <v>24</v>
      </c>
      <c r="K16" s="375">
        <f t="shared" si="2"/>
        <v>36</v>
      </c>
      <c r="L16" s="375">
        <f t="shared" si="2"/>
        <v>24</v>
      </c>
      <c r="M16" s="392">
        <f t="shared" si="0"/>
        <v>120</v>
      </c>
      <c r="O16" s="365"/>
      <c r="P16" s="365"/>
      <c r="Q16" s="365"/>
    </row>
    <row r="17" spans="1:16" ht="24.75" customHeight="1" x14ac:dyDescent="0.25">
      <c r="A17" s="175" t="s">
        <v>719</v>
      </c>
      <c r="B17" s="179" t="s">
        <v>794</v>
      </c>
      <c r="C17" s="377"/>
      <c r="D17" s="377"/>
      <c r="E17" s="377"/>
      <c r="F17" s="377"/>
      <c r="G17" s="377"/>
      <c r="H17" s="377"/>
      <c r="I17" s="383"/>
      <c r="J17" s="383"/>
      <c r="K17" s="383"/>
      <c r="L17" s="383">
        <v>24</v>
      </c>
      <c r="M17" s="390">
        <f t="shared" si="0"/>
        <v>24</v>
      </c>
    </row>
    <row r="18" spans="1:16" ht="24.75" customHeight="1" x14ac:dyDescent="0.25">
      <c r="A18" s="175" t="s">
        <v>792</v>
      </c>
      <c r="B18" s="179" t="s">
        <v>795</v>
      </c>
      <c r="C18" s="377"/>
      <c r="D18" s="377"/>
      <c r="E18" s="377"/>
      <c r="F18" s="377"/>
      <c r="G18" s="377"/>
      <c r="H18" s="377"/>
      <c r="I18" s="383"/>
      <c r="J18" s="383">
        <v>24</v>
      </c>
      <c r="K18" s="383"/>
      <c r="L18" s="383"/>
      <c r="M18" s="390">
        <f t="shared" si="0"/>
        <v>24</v>
      </c>
    </row>
    <row r="19" spans="1:16" ht="24.75" customHeight="1" x14ac:dyDescent="0.25">
      <c r="A19" s="175" t="s">
        <v>721</v>
      </c>
      <c r="B19" s="179" t="s">
        <v>796</v>
      </c>
      <c r="C19" s="377"/>
      <c r="D19" s="377"/>
      <c r="E19" s="377"/>
      <c r="F19" s="377"/>
      <c r="G19" s="377"/>
      <c r="H19" s="377"/>
      <c r="I19" s="383">
        <v>36</v>
      </c>
      <c r="J19" s="383"/>
      <c r="K19" s="383"/>
      <c r="L19" s="383"/>
      <c r="M19" s="390">
        <f t="shared" si="0"/>
        <v>36</v>
      </c>
      <c r="P19" s="365"/>
    </row>
    <row r="20" spans="1:16" ht="24.75" customHeight="1" x14ac:dyDescent="0.25">
      <c r="A20" s="175" t="s">
        <v>793</v>
      </c>
      <c r="B20" s="179" t="s">
        <v>797</v>
      </c>
      <c r="C20" s="377"/>
      <c r="D20" s="377"/>
      <c r="E20" s="377"/>
      <c r="F20" s="377"/>
      <c r="G20" s="377"/>
      <c r="H20" s="377"/>
      <c r="I20" s="383"/>
      <c r="J20" s="383"/>
      <c r="K20" s="383">
        <v>36</v>
      </c>
      <c r="L20" s="383"/>
      <c r="M20" s="390">
        <f t="shared" si="0"/>
        <v>36</v>
      </c>
    </row>
    <row r="21" spans="1:16" x14ac:dyDescent="0.25">
      <c r="A21" s="372"/>
      <c r="B21" s="374" t="s">
        <v>806</v>
      </c>
      <c r="C21" s="375">
        <v>276</v>
      </c>
      <c r="D21" s="372" t="s">
        <v>365</v>
      </c>
      <c r="E21" s="375">
        <v>48</v>
      </c>
      <c r="F21" s="375">
        <v>36</v>
      </c>
      <c r="G21" s="375">
        <v>48</v>
      </c>
      <c r="H21" s="375">
        <v>36</v>
      </c>
      <c r="I21" s="375">
        <v>36</v>
      </c>
      <c r="J21" s="375">
        <v>24</v>
      </c>
      <c r="K21" s="375">
        <v>36</v>
      </c>
      <c r="L21" s="375">
        <v>24</v>
      </c>
      <c r="M21" s="392">
        <f>SUM(M4,M7,M10,M16)</f>
        <v>588</v>
      </c>
    </row>
  </sheetData>
  <mergeCells count="1">
    <mergeCell ref="A1:B1"/>
  </mergeCells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61"/>
  <sheetViews>
    <sheetView topLeftCell="A21" zoomScale="130" zoomScaleNormal="130" workbookViewId="0">
      <selection activeCell="R33" sqref="R33"/>
    </sheetView>
  </sheetViews>
  <sheetFormatPr defaultColWidth="9.109375" defaultRowHeight="13.2" x14ac:dyDescent="0.25"/>
  <cols>
    <col min="1" max="1" width="5.88671875" style="509" customWidth="1"/>
    <col min="2" max="2" width="39.6640625" style="506" customWidth="1"/>
    <col min="3" max="3" width="2.88671875" style="504" customWidth="1"/>
    <col min="4" max="4" width="2.88671875" style="505" customWidth="1"/>
    <col min="5" max="18" width="2.88671875" style="506" customWidth="1"/>
    <col min="19" max="19" width="2.88671875" style="566" customWidth="1"/>
    <col min="20" max="20" width="2.88671875" style="568" customWidth="1"/>
    <col min="21" max="36" width="2.88671875" style="506" customWidth="1"/>
    <col min="37" max="16384" width="9.109375" style="11"/>
  </cols>
  <sheetData>
    <row r="1" spans="1:36" ht="24" customHeight="1" x14ac:dyDescent="0.25">
      <c r="A1" s="716" t="s">
        <v>805</v>
      </c>
      <c r="B1" s="717"/>
    </row>
    <row r="2" spans="1:36" hidden="1" x14ac:dyDescent="0.25">
      <c r="A2" s="507"/>
      <c r="B2" s="508"/>
    </row>
    <row r="3" spans="1:36" ht="124.5" customHeight="1" x14ac:dyDescent="0.25">
      <c r="A3" s="511" t="s">
        <v>3</v>
      </c>
      <c r="B3" s="511" t="s">
        <v>803</v>
      </c>
      <c r="C3" s="512" t="s">
        <v>522</v>
      </c>
      <c r="D3" s="513" t="s">
        <v>524</v>
      </c>
      <c r="E3" s="513" t="s">
        <v>526</v>
      </c>
      <c r="F3" s="513" t="s">
        <v>531</v>
      </c>
      <c r="G3" s="513" t="s">
        <v>533</v>
      </c>
      <c r="H3" s="513" t="s">
        <v>535</v>
      </c>
      <c r="I3" s="513" t="s">
        <v>537</v>
      </c>
      <c r="J3" s="513" t="s">
        <v>542</v>
      </c>
      <c r="K3" s="513" t="s">
        <v>547</v>
      </c>
      <c r="L3" s="513" t="s">
        <v>549</v>
      </c>
      <c r="M3" s="513" t="s">
        <v>551</v>
      </c>
      <c r="N3" s="513" t="s">
        <v>553</v>
      </c>
      <c r="O3" s="513" t="s">
        <v>557</v>
      </c>
      <c r="P3" s="513" t="s">
        <v>562</v>
      </c>
      <c r="Q3" s="513" t="s">
        <v>814</v>
      </c>
      <c r="R3" s="513" t="s">
        <v>569</v>
      </c>
      <c r="S3" s="567" t="s">
        <v>571</v>
      </c>
      <c r="T3" s="569" t="s">
        <v>572</v>
      </c>
      <c r="U3" s="513" t="s">
        <v>577</v>
      </c>
      <c r="V3" s="513" t="s">
        <v>582</v>
      </c>
      <c r="W3" s="513" t="s">
        <v>587</v>
      </c>
      <c r="X3" s="513" t="s">
        <v>589</v>
      </c>
      <c r="Y3" s="513" t="s">
        <v>591</v>
      </c>
      <c r="Z3" s="513" t="s">
        <v>596</v>
      </c>
      <c r="AA3" s="513" t="s">
        <v>598</v>
      </c>
      <c r="AB3" s="513" t="s">
        <v>603</v>
      </c>
      <c r="AC3" s="513" t="s">
        <v>605</v>
      </c>
      <c r="AD3" s="513" t="s">
        <v>607</v>
      </c>
      <c r="AE3" s="513" t="s">
        <v>609</v>
      </c>
      <c r="AF3" s="513" t="s">
        <v>613</v>
      </c>
      <c r="AG3" s="513" t="s">
        <v>615</v>
      </c>
      <c r="AH3" s="513" t="s">
        <v>617</v>
      </c>
      <c r="AI3" s="513" t="s">
        <v>619</v>
      </c>
      <c r="AJ3" s="514" t="s">
        <v>808</v>
      </c>
    </row>
    <row r="4" spans="1:36" x14ac:dyDescent="0.25">
      <c r="A4" s="515" t="s">
        <v>518</v>
      </c>
      <c r="B4" s="516" t="s">
        <v>519</v>
      </c>
      <c r="C4" s="517">
        <f>SUM(C5:C7)</f>
        <v>36</v>
      </c>
      <c r="D4" s="517">
        <f t="shared" ref="D4:E4" si="0">SUM(D5:D7)</f>
        <v>144</v>
      </c>
      <c r="E4" s="517">
        <f t="shared" si="0"/>
        <v>96</v>
      </c>
      <c r="F4" s="518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518"/>
      <c r="S4" s="518"/>
      <c r="T4" s="570"/>
      <c r="U4" s="518"/>
      <c r="V4" s="518"/>
      <c r="W4" s="518"/>
      <c r="X4" s="518"/>
      <c r="Y4" s="518"/>
      <c r="Z4" s="518"/>
      <c r="AA4" s="518"/>
      <c r="AB4" s="518"/>
      <c r="AC4" s="518"/>
      <c r="AD4" s="518"/>
      <c r="AE4" s="518"/>
      <c r="AF4" s="518"/>
      <c r="AG4" s="518"/>
      <c r="AH4" s="518"/>
      <c r="AI4" s="518"/>
      <c r="AJ4" s="519">
        <f>SUM(C4:AI4)</f>
        <v>276</v>
      </c>
    </row>
    <row r="5" spans="1:36" ht="15.75" customHeight="1" x14ac:dyDescent="0.25">
      <c r="A5" s="520" t="s">
        <v>702</v>
      </c>
      <c r="B5" s="521" t="s">
        <v>705</v>
      </c>
      <c r="C5" s="522">
        <v>12</v>
      </c>
      <c r="D5" s="523">
        <v>12</v>
      </c>
      <c r="E5" s="523">
        <v>12</v>
      </c>
      <c r="F5" s="524"/>
      <c r="G5" s="524"/>
      <c r="H5" s="524"/>
      <c r="I5" s="525"/>
      <c r="J5" s="524"/>
      <c r="K5" s="524"/>
      <c r="L5" s="524"/>
      <c r="M5" s="524"/>
      <c r="N5" s="524"/>
      <c r="O5" s="524"/>
      <c r="P5" s="524"/>
      <c r="Q5" s="524"/>
      <c r="R5" s="524"/>
      <c r="S5" s="518"/>
      <c r="T5" s="570"/>
      <c r="U5" s="524"/>
      <c r="V5" s="524"/>
      <c r="W5" s="524"/>
      <c r="X5" s="524"/>
      <c r="Y5" s="524"/>
      <c r="Z5" s="524"/>
      <c r="AA5" s="524"/>
      <c r="AB5" s="524"/>
      <c r="AC5" s="524"/>
      <c r="AD5" s="524"/>
      <c r="AE5" s="524"/>
      <c r="AF5" s="524"/>
      <c r="AG5" s="524"/>
      <c r="AH5" s="524"/>
      <c r="AI5" s="524"/>
      <c r="AJ5" s="526">
        <f t="shared" ref="AJ5:AJ59" si="1">SUM(C5:AI5)</f>
        <v>36</v>
      </c>
    </row>
    <row r="6" spans="1:36" ht="15.75" customHeight="1" x14ac:dyDescent="0.25">
      <c r="A6" s="520" t="s">
        <v>703</v>
      </c>
      <c r="B6" s="527" t="s">
        <v>706</v>
      </c>
      <c r="C6" s="528">
        <v>12</v>
      </c>
      <c r="D6" s="523">
        <v>84</v>
      </c>
      <c r="E6" s="523">
        <v>48</v>
      </c>
      <c r="F6" s="524"/>
      <c r="G6" s="524"/>
      <c r="H6" s="524"/>
      <c r="I6" s="529"/>
      <c r="J6" s="524"/>
      <c r="K6" s="524"/>
      <c r="L6" s="524"/>
      <c r="M6" s="524"/>
      <c r="N6" s="524"/>
      <c r="O6" s="524"/>
      <c r="P6" s="524"/>
      <c r="Q6" s="524"/>
      <c r="R6" s="524"/>
      <c r="S6" s="518"/>
      <c r="T6" s="570"/>
      <c r="U6" s="524"/>
      <c r="V6" s="524"/>
      <c r="W6" s="524"/>
      <c r="X6" s="524"/>
      <c r="Y6" s="524"/>
      <c r="Z6" s="524"/>
      <c r="AA6" s="524"/>
      <c r="AB6" s="524"/>
      <c r="AC6" s="524"/>
      <c r="AD6" s="524"/>
      <c r="AE6" s="524"/>
      <c r="AF6" s="524"/>
      <c r="AG6" s="524"/>
      <c r="AH6" s="524"/>
      <c r="AI6" s="524"/>
      <c r="AJ6" s="526">
        <f t="shared" si="1"/>
        <v>144</v>
      </c>
    </row>
    <row r="7" spans="1:36" x14ac:dyDescent="0.25">
      <c r="A7" s="520" t="s">
        <v>704</v>
      </c>
      <c r="B7" s="527" t="s">
        <v>713</v>
      </c>
      <c r="C7" s="528">
        <v>12</v>
      </c>
      <c r="D7" s="523">
        <v>48</v>
      </c>
      <c r="E7" s="523">
        <v>36</v>
      </c>
      <c r="F7" s="524"/>
      <c r="G7" s="524"/>
      <c r="H7" s="524"/>
      <c r="I7" s="529"/>
      <c r="J7" s="524"/>
      <c r="K7" s="524"/>
      <c r="L7" s="524"/>
      <c r="M7" s="524"/>
      <c r="N7" s="524"/>
      <c r="O7" s="524"/>
      <c r="P7" s="524"/>
      <c r="Q7" s="524"/>
      <c r="R7" s="524"/>
      <c r="S7" s="518"/>
      <c r="T7" s="570"/>
      <c r="U7" s="524"/>
      <c r="V7" s="524"/>
      <c r="W7" s="524"/>
      <c r="X7" s="524"/>
      <c r="Y7" s="524"/>
      <c r="Z7" s="524"/>
      <c r="AA7" s="524"/>
      <c r="AB7" s="524"/>
      <c r="AC7" s="524"/>
      <c r="AD7" s="524"/>
      <c r="AE7" s="524"/>
      <c r="AF7" s="524"/>
      <c r="AG7" s="524"/>
      <c r="AH7" s="524"/>
      <c r="AI7" s="524"/>
      <c r="AJ7" s="526">
        <f t="shared" si="1"/>
        <v>96</v>
      </c>
    </row>
    <row r="8" spans="1:36" x14ac:dyDescent="0.25">
      <c r="A8" s="515" t="s">
        <v>527</v>
      </c>
      <c r="B8" s="516" t="s">
        <v>528</v>
      </c>
      <c r="C8" s="530"/>
      <c r="D8" s="531"/>
      <c r="E8" s="531"/>
      <c r="F8" s="517">
        <f>SUM(F9:F12)</f>
        <v>144</v>
      </c>
      <c r="G8" s="517">
        <f t="shared" ref="G8:I8" si="2">SUM(G9:G12)</f>
        <v>240</v>
      </c>
      <c r="H8" s="517">
        <f t="shared" si="2"/>
        <v>36</v>
      </c>
      <c r="I8" s="517">
        <f t="shared" si="2"/>
        <v>48</v>
      </c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70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518"/>
      <c r="AH8" s="518"/>
      <c r="AI8" s="518"/>
      <c r="AJ8" s="519">
        <f t="shared" si="1"/>
        <v>468</v>
      </c>
    </row>
    <row r="9" spans="1:36" x14ac:dyDescent="0.25">
      <c r="A9" s="520" t="s">
        <v>707</v>
      </c>
      <c r="B9" s="527" t="s">
        <v>711</v>
      </c>
      <c r="C9" s="532"/>
      <c r="D9" s="523"/>
      <c r="E9" s="524"/>
      <c r="F9" s="524">
        <v>144</v>
      </c>
      <c r="G9" s="524"/>
      <c r="H9" s="524"/>
      <c r="I9" s="524"/>
      <c r="J9" s="524"/>
      <c r="K9" s="524"/>
      <c r="L9" s="524"/>
      <c r="M9" s="524"/>
      <c r="N9" s="524"/>
      <c r="O9" s="524"/>
      <c r="P9" s="524"/>
      <c r="Q9" s="524"/>
      <c r="R9" s="524"/>
      <c r="S9" s="518"/>
      <c r="T9" s="570"/>
      <c r="U9" s="524"/>
      <c r="V9" s="524"/>
      <c r="W9" s="524"/>
      <c r="X9" s="524"/>
      <c r="Y9" s="524"/>
      <c r="Z9" s="524"/>
      <c r="AA9" s="524"/>
      <c r="AB9" s="524"/>
      <c r="AC9" s="524"/>
      <c r="AD9" s="524"/>
      <c r="AE9" s="524"/>
      <c r="AF9" s="524"/>
      <c r="AG9" s="524"/>
      <c r="AH9" s="524"/>
      <c r="AI9" s="524"/>
      <c r="AJ9" s="526">
        <f t="shared" si="1"/>
        <v>144</v>
      </c>
    </row>
    <row r="10" spans="1:36" x14ac:dyDescent="0.25">
      <c r="A10" s="520" t="s">
        <v>708</v>
      </c>
      <c r="B10" s="527" t="s">
        <v>802</v>
      </c>
      <c r="C10" s="532"/>
      <c r="D10" s="523"/>
      <c r="E10" s="524"/>
      <c r="F10" s="524"/>
      <c r="G10" s="524">
        <v>240</v>
      </c>
      <c r="H10" s="524"/>
      <c r="I10" s="524"/>
      <c r="J10" s="524"/>
      <c r="K10" s="524"/>
      <c r="L10" s="524"/>
      <c r="M10" s="524"/>
      <c r="N10" s="524"/>
      <c r="O10" s="524"/>
      <c r="P10" s="524"/>
      <c r="Q10" s="524"/>
      <c r="R10" s="524"/>
      <c r="S10" s="518"/>
      <c r="T10" s="570"/>
      <c r="U10" s="524"/>
      <c r="V10" s="524"/>
      <c r="W10" s="524"/>
      <c r="X10" s="524"/>
      <c r="Y10" s="524"/>
      <c r="Z10" s="524"/>
      <c r="AA10" s="524"/>
      <c r="AB10" s="524"/>
      <c r="AC10" s="524"/>
      <c r="AD10" s="524"/>
      <c r="AE10" s="524"/>
      <c r="AF10" s="524"/>
      <c r="AG10" s="524"/>
      <c r="AH10" s="524"/>
      <c r="AI10" s="524"/>
      <c r="AJ10" s="526">
        <f t="shared" si="1"/>
        <v>240</v>
      </c>
    </row>
    <row r="11" spans="1:36" ht="10.5" customHeight="1" x14ac:dyDescent="0.25">
      <c r="A11" s="520" t="s">
        <v>709</v>
      </c>
      <c r="B11" s="527" t="s">
        <v>764</v>
      </c>
      <c r="C11" s="532"/>
      <c r="D11" s="523"/>
      <c r="E11" s="524"/>
      <c r="F11" s="524"/>
      <c r="G11" s="524"/>
      <c r="H11" s="524">
        <v>36</v>
      </c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18"/>
      <c r="T11" s="570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  <c r="AJ11" s="526">
        <f t="shared" si="1"/>
        <v>36</v>
      </c>
    </row>
    <row r="12" spans="1:36" ht="17.25" customHeight="1" x14ac:dyDescent="0.25">
      <c r="A12" s="520" t="s">
        <v>710</v>
      </c>
      <c r="B12" s="527" t="s">
        <v>712</v>
      </c>
      <c r="C12" s="533"/>
      <c r="D12" s="523"/>
      <c r="E12" s="524"/>
      <c r="F12" s="524"/>
      <c r="G12" s="524"/>
      <c r="H12" s="524"/>
      <c r="I12" s="524">
        <v>48</v>
      </c>
      <c r="J12" s="524"/>
      <c r="K12" s="524"/>
      <c r="L12" s="524"/>
      <c r="M12" s="524"/>
      <c r="N12" s="524"/>
      <c r="O12" s="524"/>
      <c r="P12" s="524"/>
      <c r="Q12" s="524"/>
      <c r="R12" s="524"/>
      <c r="S12" s="518"/>
      <c r="T12" s="570"/>
      <c r="U12" s="524"/>
      <c r="V12" s="524"/>
      <c r="W12" s="524"/>
      <c r="X12" s="524"/>
      <c r="Y12" s="524"/>
      <c r="Z12" s="524"/>
      <c r="AA12" s="524"/>
      <c r="AB12" s="524"/>
      <c r="AC12" s="524"/>
      <c r="AD12" s="524"/>
      <c r="AE12" s="524"/>
      <c r="AF12" s="524"/>
      <c r="AG12" s="524"/>
      <c r="AH12" s="524"/>
      <c r="AI12" s="524"/>
      <c r="AJ12" s="526">
        <f t="shared" si="1"/>
        <v>48</v>
      </c>
    </row>
    <row r="13" spans="1:36" x14ac:dyDescent="0.25">
      <c r="A13" s="534" t="s">
        <v>538</v>
      </c>
      <c r="B13" s="535" t="s">
        <v>539</v>
      </c>
      <c r="C13" s="530"/>
      <c r="D13" s="536"/>
      <c r="E13" s="536"/>
      <c r="F13" s="531"/>
      <c r="G13" s="531"/>
      <c r="H13" s="531"/>
      <c r="I13" s="537"/>
      <c r="J13" s="517">
        <f>SUM(J14:J16)</f>
        <v>108</v>
      </c>
      <c r="K13" s="518"/>
      <c r="L13" s="518"/>
      <c r="M13" s="518"/>
      <c r="N13" s="518"/>
      <c r="O13" s="518"/>
      <c r="P13" s="518"/>
      <c r="Q13" s="518"/>
      <c r="R13" s="518"/>
      <c r="S13" s="518"/>
      <c r="T13" s="570"/>
      <c r="U13" s="518"/>
      <c r="V13" s="518"/>
      <c r="W13" s="518"/>
      <c r="X13" s="518"/>
      <c r="Y13" s="518"/>
      <c r="Z13" s="518"/>
      <c r="AA13" s="518"/>
      <c r="AB13" s="518"/>
      <c r="AC13" s="518"/>
      <c r="AD13" s="518"/>
      <c r="AE13" s="518"/>
      <c r="AF13" s="518"/>
      <c r="AG13" s="518"/>
      <c r="AH13" s="518"/>
      <c r="AI13" s="518"/>
      <c r="AJ13" s="519">
        <f t="shared" si="1"/>
        <v>108</v>
      </c>
    </row>
    <row r="14" spans="1:36" x14ac:dyDescent="0.25">
      <c r="A14" s="520" t="s">
        <v>714</v>
      </c>
      <c r="B14" s="527" t="s">
        <v>716</v>
      </c>
      <c r="C14" s="538"/>
      <c r="D14" s="523"/>
      <c r="E14" s="523"/>
      <c r="F14" s="523"/>
      <c r="G14" s="523"/>
      <c r="H14" s="523"/>
      <c r="I14" s="511"/>
      <c r="J14" s="539">
        <v>36</v>
      </c>
      <c r="K14" s="524"/>
      <c r="L14" s="524"/>
      <c r="M14" s="524"/>
      <c r="N14" s="524"/>
      <c r="O14" s="524"/>
      <c r="P14" s="524"/>
      <c r="Q14" s="524"/>
      <c r="R14" s="524"/>
      <c r="S14" s="518"/>
      <c r="T14" s="570"/>
      <c r="U14" s="524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524"/>
      <c r="AI14" s="524"/>
      <c r="AJ14" s="526">
        <f t="shared" si="1"/>
        <v>36</v>
      </c>
    </row>
    <row r="15" spans="1:36" x14ac:dyDescent="0.25">
      <c r="A15" s="520" t="s">
        <v>698</v>
      </c>
      <c r="B15" s="527" t="s">
        <v>717</v>
      </c>
      <c r="C15" s="538"/>
      <c r="D15" s="523"/>
      <c r="E15" s="523"/>
      <c r="F15" s="523"/>
      <c r="G15" s="523"/>
      <c r="H15" s="523"/>
      <c r="I15" s="511"/>
      <c r="J15" s="539">
        <v>36</v>
      </c>
      <c r="K15" s="524"/>
      <c r="L15" s="524"/>
      <c r="M15" s="524"/>
      <c r="N15" s="524"/>
      <c r="O15" s="524"/>
      <c r="P15" s="524"/>
      <c r="Q15" s="524"/>
      <c r="R15" s="524"/>
      <c r="S15" s="518"/>
      <c r="T15" s="570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  <c r="AJ15" s="526">
        <f t="shared" si="1"/>
        <v>36</v>
      </c>
    </row>
    <row r="16" spans="1:36" ht="15" customHeight="1" x14ac:dyDescent="0.25">
      <c r="A16" s="520" t="s">
        <v>715</v>
      </c>
      <c r="B16" s="527" t="s">
        <v>718</v>
      </c>
      <c r="C16" s="540"/>
      <c r="D16" s="541"/>
      <c r="E16" s="541"/>
      <c r="F16" s="523"/>
      <c r="G16" s="523"/>
      <c r="H16" s="523"/>
      <c r="I16" s="511"/>
      <c r="J16" s="542">
        <v>36</v>
      </c>
      <c r="K16" s="524"/>
      <c r="L16" s="524"/>
      <c r="M16" s="524"/>
      <c r="N16" s="524"/>
      <c r="O16" s="524"/>
      <c r="P16" s="524"/>
      <c r="Q16" s="524"/>
      <c r="R16" s="524"/>
      <c r="S16" s="518"/>
      <c r="T16" s="570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4"/>
      <c r="AJ16" s="526">
        <f t="shared" si="1"/>
        <v>36</v>
      </c>
    </row>
    <row r="17" spans="1:36" x14ac:dyDescent="0.25">
      <c r="A17" s="515" t="s">
        <v>543</v>
      </c>
      <c r="B17" s="516" t="s">
        <v>544</v>
      </c>
      <c r="C17" s="543"/>
      <c r="D17" s="531"/>
      <c r="E17" s="531"/>
      <c r="F17" s="531"/>
      <c r="G17" s="531"/>
      <c r="H17" s="531"/>
      <c r="I17" s="531"/>
      <c r="J17" s="531"/>
      <c r="K17" s="517">
        <f>SUM(K18:K21)</f>
        <v>60</v>
      </c>
      <c r="L17" s="517">
        <f t="shared" ref="L17:O17" si="3">SUM(L18:L21)</f>
        <v>36</v>
      </c>
      <c r="M17" s="517">
        <f t="shared" si="3"/>
        <v>36</v>
      </c>
      <c r="N17" s="517">
        <f t="shared" si="3"/>
        <v>120</v>
      </c>
      <c r="O17" s="517">
        <f t="shared" si="3"/>
        <v>156</v>
      </c>
      <c r="P17" s="518"/>
      <c r="Q17" s="518"/>
      <c r="R17" s="518"/>
      <c r="S17" s="518"/>
      <c r="T17" s="570"/>
      <c r="U17" s="518"/>
      <c r="V17" s="518"/>
      <c r="W17" s="518"/>
      <c r="X17" s="518"/>
      <c r="Y17" s="518"/>
      <c r="Z17" s="518"/>
      <c r="AA17" s="518"/>
      <c r="AB17" s="518"/>
      <c r="AC17" s="518"/>
      <c r="AD17" s="518"/>
      <c r="AE17" s="518"/>
      <c r="AF17" s="518"/>
      <c r="AG17" s="518"/>
      <c r="AH17" s="518"/>
      <c r="AI17" s="518"/>
      <c r="AJ17" s="519">
        <f t="shared" si="1"/>
        <v>408</v>
      </c>
    </row>
    <row r="18" spans="1:36" ht="15.75" customHeight="1" x14ac:dyDescent="0.25">
      <c r="A18" s="520" t="s">
        <v>719</v>
      </c>
      <c r="B18" s="527" t="s">
        <v>723</v>
      </c>
      <c r="C18" s="538"/>
      <c r="D18" s="523"/>
      <c r="E18" s="524"/>
      <c r="F18" s="524"/>
      <c r="G18" s="524"/>
      <c r="H18" s="524"/>
      <c r="I18" s="524"/>
      <c r="J18" s="524"/>
      <c r="K18" s="529"/>
      <c r="L18" s="524"/>
      <c r="M18" s="524"/>
      <c r="N18" s="524">
        <v>24</v>
      </c>
      <c r="O18" s="524"/>
      <c r="P18" s="524"/>
      <c r="Q18" s="524"/>
      <c r="R18" s="524"/>
      <c r="S18" s="518"/>
      <c r="T18" s="570"/>
      <c r="U18" s="524"/>
      <c r="V18" s="524"/>
      <c r="W18" s="524"/>
      <c r="X18" s="524"/>
      <c r="Y18" s="524"/>
      <c r="Z18" s="524"/>
      <c r="AA18" s="524"/>
      <c r="AB18" s="524"/>
      <c r="AC18" s="524"/>
      <c r="AD18" s="524"/>
      <c r="AE18" s="524"/>
      <c r="AF18" s="524"/>
      <c r="AG18" s="524"/>
      <c r="AH18" s="524"/>
      <c r="AI18" s="524"/>
      <c r="AJ18" s="526">
        <f t="shared" si="1"/>
        <v>24</v>
      </c>
    </row>
    <row r="19" spans="1:36" x14ac:dyDescent="0.25">
      <c r="A19" s="520" t="s">
        <v>720</v>
      </c>
      <c r="B19" s="527" t="s">
        <v>724</v>
      </c>
      <c r="C19" s="538"/>
      <c r="D19" s="523"/>
      <c r="E19" s="524"/>
      <c r="F19" s="524"/>
      <c r="G19" s="524"/>
      <c r="H19" s="524"/>
      <c r="I19" s="524"/>
      <c r="J19" s="524"/>
      <c r="K19" s="529"/>
      <c r="L19" s="525"/>
      <c r="M19" s="524"/>
      <c r="N19" s="524">
        <v>24</v>
      </c>
      <c r="O19" s="524"/>
      <c r="P19" s="524"/>
      <c r="Q19" s="524"/>
      <c r="R19" s="524"/>
      <c r="S19" s="518"/>
      <c r="T19" s="570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  <c r="AJ19" s="526">
        <f t="shared" si="1"/>
        <v>24</v>
      </c>
    </row>
    <row r="20" spans="1:36" x14ac:dyDescent="0.25">
      <c r="A20" s="520" t="s">
        <v>721</v>
      </c>
      <c r="B20" s="527" t="s">
        <v>725</v>
      </c>
      <c r="C20" s="538"/>
      <c r="D20" s="523"/>
      <c r="E20" s="524"/>
      <c r="F20" s="524"/>
      <c r="G20" s="524"/>
      <c r="H20" s="524"/>
      <c r="I20" s="524"/>
      <c r="J20" s="524"/>
      <c r="K20" s="525"/>
      <c r="L20" s="525"/>
      <c r="M20" s="524"/>
      <c r="N20" s="524">
        <v>72</v>
      </c>
      <c r="O20" s="524">
        <v>156</v>
      </c>
      <c r="P20" s="524"/>
      <c r="Q20" s="524"/>
      <c r="R20" s="524"/>
      <c r="S20" s="518"/>
      <c r="T20" s="570"/>
      <c r="U20" s="524"/>
      <c r="V20" s="524"/>
      <c r="W20" s="524"/>
      <c r="X20" s="524"/>
      <c r="Y20" s="524"/>
      <c r="Z20" s="524"/>
      <c r="AA20" s="524"/>
      <c r="AB20" s="524"/>
      <c r="AC20" s="524"/>
      <c r="AD20" s="524"/>
      <c r="AE20" s="524"/>
      <c r="AF20" s="524"/>
      <c r="AG20" s="524"/>
      <c r="AH20" s="524"/>
      <c r="AI20" s="524"/>
      <c r="AJ20" s="526">
        <f t="shared" si="1"/>
        <v>228</v>
      </c>
    </row>
    <row r="21" spans="1:36" ht="18" customHeight="1" x14ac:dyDescent="0.25">
      <c r="A21" s="520" t="s">
        <v>722</v>
      </c>
      <c r="B21" s="527" t="s">
        <v>726</v>
      </c>
      <c r="C21" s="538"/>
      <c r="D21" s="523"/>
      <c r="E21" s="524"/>
      <c r="F21" s="524"/>
      <c r="G21" s="524"/>
      <c r="H21" s="524"/>
      <c r="I21" s="524"/>
      <c r="J21" s="524"/>
      <c r="K21" s="544">
        <v>60</v>
      </c>
      <c r="L21" s="544">
        <v>36</v>
      </c>
      <c r="M21" s="544">
        <v>36</v>
      </c>
      <c r="N21" s="524"/>
      <c r="O21" s="524"/>
      <c r="P21" s="524"/>
      <c r="Q21" s="524"/>
      <c r="R21" s="524"/>
      <c r="S21" s="518"/>
      <c r="T21" s="570"/>
      <c r="U21" s="524"/>
      <c r="V21" s="524"/>
      <c r="W21" s="524"/>
      <c r="X21" s="524"/>
      <c r="Y21" s="524"/>
      <c r="Z21" s="524"/>
      <c r="AA21" s="524"/>
      <c r="AB21" s="524"/>
      <c r="AC21" s="524"/>
      <c r="AD21" s="524"/>
      <c r="AE21" s="524"/>
      <c r="AF21" s="524"/>
      <c r="AG21" s="524"/>
      <c r="AH21" s="524"/>
      <c r="AI21" s="524"/>
      <c r="AJ21" s="526">
        <f t="shared" si="1"/>
        <v>132</v>
      </c>
    </row>
    <row r="22" spans="1:36" ht="15.6" x14ac:dyDescent="0.25">
      <c r="A22" s="534" t="s">
        <v>558</v>
      </c>
      <c r="B22" s="516" t="s">
        <v>559</v>
      </c>
      <c r="C22" s="543"/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17">
        <f>SUM(P23:P26)</f>
        <v>288</v>
      </c>
      <c r="Q22" s="517">
        <f>SUM(Q23:Q26)</f>
        <v>120</v>
      </c>
      <c r="R22" s="518"/>
      <c r="S22" s="518"/>
      <c r="T22" s="570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9">
        <f t="shared" si="1"/>
        <v>408</v>
      </c>
    </row>
    <row r="23" spans="1:36" ht="17.25" customHeight="1" x14ac:dyDescent="0.25">
      <c r="A23" s="520" t="s">
        <v>729</v>
      </c>
      <c r="B23" s="527" t="s">
        <v>733</v>
      </c>
      <c r="C23" s="538"/>
      <c r="D23" s="523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45"/>
      <c r="P23" s="524">
        <v>90</v>
      </c>
      <c r="Q23" s="524">
        <v>30</v>
      </c>
      <c r="R23" s="524"/>
      <c r="S23" s="518"/>
      <c r="T23" s="570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  <c r="AJ23" s="526">
        <f t="shared" si="1"/>
        <v>120</v>
      </c>
    </row>
    <row r="24" spans="1:36" ht="17.25" customHeight="1" x14ac:dyDescent="0.25">
      <c r="A24" s="520" t="s">
        <v>730</v>
      </c>
      <c r="B24" s="527" t="s">
        <v>734</v>
      </c>
      <c r="C24" s="538"/>
      <c r="D24" s="523"/>
      <c r="E24" s="524"/>
      <c r="F24" s="546"/>
      <c r="G24" s="546"/>
      <c r="H24" s="546"/>
      <c r="I24" s="546"/>
      <c r="J24" s="546"/>
      <c r="K24" s="546"/>
      <c r="L24" s="546"/>
      <c r="M24" s="546"/>
      <c r="N24" s="546"/>
      <c r="O24" s="547"/>
      <c r="P24" s="546">
        <v>90</v>
      </c>
      <c r="Q24" s="546">
        <v>30</v>
      </c>
      <c r="R24" s="524"/>
      <c r="S24" s="518"/>
      <c r="T24" s="570"/>
      <c r="U24" s="524"/>
      <c r="V24" s="524"/>
      <c r="W24" s="524"/>
      <c r="X24" s="524"/>
      <c r="Y24" s="524"/>
      <c r="Z24" s="524"/>
      <c r="AA24" s="524"/>
      <c r="AB24" s="524"/>
      <c r="AC24" s="524"/>
      <c r="AD24" s="524"/>
      <c r="AE24" s="524"/>
      <c r="AF24" s="524"/>
      <c r="AG24" s="524"/>
      <c r="AH24" s="524"/>
      <c r="AI24" s="524"/>
      <c r="AJ24" s="526">
        <f t="shared" si="1"/>
        <v>120</v>
      </c>
    </row>
    <row r="25" spans="1:36" ht="17.25" customHeight="1" x14ac:dyDescent="0.25">
      <c r="A25" s="520" t="s">
        <v>731</v>
      </c>
      <c r="B25" s="527" t="s">
        <v>735</v>
      </c>
      <c r="C25" s="538"/>
      <c r="D25" s="523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45"/>
      <c r="P25" s="524">
        <v>90</v>
      </c>
      <c r="Q25" s="524">
        <v>30</v>
      </c>
      <c r="R25" s="524"/>
      <c r="S25" s="518"/>
      <c r="T25" s="570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  <c r="AJ25" s="526">
        <f t="shared" si="1"/>
        <v>120</v>
      </c>
    </row>
    <row r="26" spans="1:36" x14ac:dyDescent="0.25">
      <c r="A26" s="520" t="s">
        <v>732</v>
      </c>
      <c r="B26" s="527" t="s">
        <v>736</v>
      </c>
      <c r="C26" s="538"/>
      <c r="D26" s="523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45"/>
      <c r="P26" s="524">
        <v>18</v>
      </c>
      <c r="Q26" s="524">
        <v>30</v>
      </c>
      <c r="R26" s="524"/>
      <c r="S26" s="518"/>
      <c r="T26" s="570"/>
      <c r="U26" s="524"/>
      <c r="V26" s="524"/>
      <c r="W26" s="524"/>
      <c r="X26" s="524"/>
      <c r="Y26" s="524"/>
      <c r="Z26" s="524"/>
      <c r="AA26" s="524"/>
      <c r="AB26" s="524"/>
      <c r="AC26" s="524"/>
      <c r="AD26" s="524"/>
      <c r="AE26" s="524"/>
      <c r="AF26" s="524"/>
      <c r="AG26" s="524"/>
      <c r="AH26" s="524"/>
      <c r="AI26" s="524"/>
      <c r="AJ26" s="526">
        <f t="shared" si="1"/>
        <v>48</v>
      </c>
    </row>
    <row r="27" spans="1:36" x14ac:dyDescent="0.25">
      <c r="A27" s="515" t="s">
        <v>565</v>
      </c>
      <c r="B27" s="516" t="s">
        <v>566</v>
      </c>
      <c r="C27" s="543"/>
      <c r="D27" s="531"/>
      <c r="E27" s="531"/>
      <c r="F27" s="531"/>
      <c r="G27" s="531"/>
      <c r="H27" s="531"/>
      <c r="I27" s="531"/>
      <c r="J27" s="531"/>
      <c r="K27" s="531"/>
      <c r="L27" s="531"/>
      <c r="M27" s="531"/>
      <c r="N27" s="531"/>
      <c r="O27" s="531"/>
      <c r="P27" s="531"/>
      <c r="Q27" s="531"/>
      <c r="R27" s="517">
        <f>SUM(R28:R31)</f>
        <v>180</v>
      </c>
      <c r="S27" s="517">
        <f t="shared" ref="S27:T27" si="4">SUM(S28:S31)</f>
        <v>36</v>
      </c>
      <c r="T27" s="571">
        <f t="shared" si="4"/>
        <v>36</v>
      </c>
      <c r="U27" s="518"/>
      <c r="V27" s="518"/>
      <c r="W27" s="518"/>
      <c r="X27" s="518"/>
      <c r="Y27" s="518"/>
      <c r="Z27" s="518"/>
      <c r="AA27" s="518"/>
      <c r="AB27" s="518"/>
      <c r="AC27" s="518"/>
      <c r="AD27" s="518"/>
      <c r="AE27" s="518"/>
      <c r="AF27" s="518"/>
      <c r="AG27" s="518"/>
      <c r="AH27" s="518"/>
      <c r="AI27" s="518"/>
      <c r="AJ27" s="519">
        <f t="shared" si="1"/>
        <v>252</v>
      </c>
    </row>
    <row r="28" spans="1:36" ht="15.6" x14ac:dyDescent="0.25">
      <c r="A28" s="520" t="s">
        <v>738</v>
      </c>
      <c r="B28" s="527" t="s">
        <v>742</v>
      </c>
      <c r="C28" s="538"/>
      <c r="D28" s="523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/>
      <c r="P28" s="524"/>
      <c r="Q28" s="525"/>
      <c r="R28" s="524">
        <v>96</v>
      </c>
      <c r="S28" s="518"/>
      <c r="T28" s="570"/>
      <c r="U28" s="524"/>
      <c r="V28" s="524"/>
      <c r="W28" s="524"/>
      <c r="X28" s="524"/>
      <c r="Y28" s="524"/>
      <c r="Z28" s="524"/>
      <c r="AA28" s="524"/>
      <c r="AB28" s="524"/>
      <c r="AC28" s="524"/>
      <c r="AD28" s="524"/>
      <c r="AE28" s="524"/>
      <c r="AF28" s="524"/>
      <c r="AG28" s="524"/>
      <c r="AH28" s="524"/>
      <c r="AI28" s="524"/>
      <c r="AJ28" s="526">
        <f t="shared" si="1"/>
        <v>96</v>
      </c>
    </row>
    <row r="29" spans="1:36" x14ac:dyDescent="0.25">
      <c r="A29" s="520" t="s">
        <v>741</v>
      </c>
      <c r="B29" s="527" t="s">
        <v>743</v>
      </c>
      <c r="C29" s="538"/>
      <c r="D29" s="523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/>
      <c r="P29" s="524"/>
      <c r="Q29" s="548"/>
      <c r="R29" s="524">
        <v>60</v>
      </c>
      <c r="S29" s="518">
        <v>12</v>
      </c>
      <c r="T29" s="570">
        <v>12</v>
      </c>
      <c r="U29" s="524"/>
      <c r="V29" s="524"/>
      <c r="W29" s="524"/>
      <c r="X29" s="524"/>
      <c r="Y29" s="524"/>
      <c r="Z29" s="524"/>
      <c r="AA29" s="524"/>
      <c r="AB29" s="524"/>
      <c r="AC29" s="524"/>
      <c r="AD29" s="524"/>
      <c r="AE29" s="524"/>
      <c r="AF29" s="524"/>
      <c r="AG29" s="524"/>
      <c r="AH29" s="524"/>
      <c r="AI29" s="524"/>
      <c r="AJ29" s="526">
        <f t="shared" si="1"/>
        <v>84</v>
      </c>
    </row>
    <row r="30" spans="1:36" x14ac:dyDescent="0.25">
      <c r="A30" s="520" t="s">
        <v>739</v>
      </c>
      <c r="B30" s="527" t="s">
        <v>744</v>
      </c>
      <c r="C30" s="538"/>
      <c r="D30" s="523"/>
      <c r="E30" s="524"/>
      <c r="F30" s="524"/>
      <c r="G30" s="524"/>
      <c r="H30" s="524"/>
      <c r="I30" s="524"/>
      <c r="J30" s="524"/>
      <c r="K30" s="524"/>
      <c r="L30" s="524"/>
      <c r="M30" s="524"/>
      <c r="N30" s="524"/>
      <c r="O30" s="524"/>
      <c r="P30" s="524"/>
      <c r="Q30" s="545"/>
      <c r="R30" s="524">
        <v>12</v>
      </c>
      <c r="S30" s="518">
        <v>12</v>
      </c>
      <c r="T30" s="570">
        <v>12</v>
      </c>
      <c r="U30" s="524"/>
      <c r="V30" s="524"/>
      <c r="W30" s="524"/>
      <c r="X30" s="524"/>
      <c r="Y30" s="524"/>
      <c r="Z30" s="524"/>
      <c r="AA30" s="524"/>
      <c r="AB30" s="524"/>
      <c r="AC30" s="524"/>
      <c r="AD30" s="524"/>
      <c r="AE30" s="524"/>
      <c r="AF30" s="524"/>
      <c r="AG30" s="524"/>
      <c r="AH30" s="524"/>
      <c r="AI30" s="524"/>
      <c r="AJ30" s="526">
        <f t="shared" si="1"/>
        <v>36</v>
      </c>
    </row>
    <row r="31" spans="1:36" x14ac:dyDescent="0.25">
      <c r="A31" s="520" t="s">
        <v>740</v>
      </c>
      <c r="B31" s="527" t="s">
        <v>745</v>
      </c>
      <c r="C31" s="538"/>
      <c r="D31" s="523"/>
      <c r="E31" s="524"/>
      <c r="F31" s="524"/>
      <c r="G31" s="524"/>
      <c r="H31" s="524"/>
      <c r="I31" s="524"/>
      <c r="J31" s="524"/>
      <c r="K31" s="524"/>
      <c r="L31" s="524"/>
      <c r="M31" s="524"/>
      <c r="N31" s="524"/>
      <c r="O31" s="524"/>
      <c r="P31" s="524"/>
      <c r="Q31" s="545"/>
      <c r="R31" s="524">
        <v>12</v>
      </c>
      <c r="S31" s="518">
        <v>12</v>
      </c>
      <c r="T31" s="570">
        <v>12</v>
      </c>
      <c r="U31" s="524"/>
      <c r="V31" s="524"/>
      <c r="W31" s="524"/>
      <c r="X31" s="524"/>
      <c r="Y31" s="524"/>
      <c r="Z31" s="524"/>
      <c r="AA31" s="524"/>
      <c r="AB31" s="524"/>
      <c r="AC31" s="524"/>
      <c r="AD31" s="524"/>
      <c r="AE31" s="524"/>
      <c r="AF31" s="524"/>
      <c r="AG31" s="524"/>
      <c r="AH31" s="524"/>
      <c r="AI31" s="524"/>
      <c r="AJ31" s="526">
        <f t="shared" si="1"/>
        <v>36</v>
      </c>
    </row>
    <row r="32" spans="1:36" x14ac:dyDescent="0.25">
      <c r="A32" s="515" t="s">
        <v>573</v>
      </c>
      <c r="B32" s="535" t="s">
        <v>574</v>
      </c>
      <c r="C32" s="543"/>
      <c r="D32" s="531"/>
      <c r="E32" s="531"/>
      <c r="F32" s="531"/>
      <c r="G32" s="531"/>
      <c r="H32" s="531"/>
      <c r="I32" s="531"/>
      <c r="J32" s="531"/>
      <c r="K32" s="531"/>
      <c r="L32" s="531"/>
      <c r="M32" s="531"/>
      <c r="N32" s="531"/>
      <c r="O32" s="531"/>
      <c r="P32" s="531"/>
      <c r="Q32" s="531"/>
      <c r="R32" s="531"/>
      <c r="S32" s="531"/>
      <c r="T32" s="572"/>
      <c r="U32" s="517">
        <f>SUM(U33:U38)</f>
        <v>72</v>
      </c>
      <c r="V32" s="518"/>
      <c r="W32" s="518"/>
      <c r="X32" s="518"/>
      <c r="Y32" s="518"/>
      <c r="Z32" s="518"/>
      <c r="AA32" s="518"/>
      <c r="AB32" s="518"/>
      <c r="AC32" s="518"/>
      <c r="AD32" s="518"/>
      <c r="AE32" s="518"/>
      <c r="AF32" s="518"/>
      <c r="AG32" s="518"/>
      <c r="AH32" s="518"/>
      <c r="AI32" s="518"/>
      <c r="AJ32" s="519">
        <f t="shared" si="1"/>
        <v>72</v>
      </c>
    </row>
    <row r="33" spans="1:36" ht="17.25" customHeight="1" x14ac:dyDescent="0.25">
      <c r="A33" s="520" t="s">
        <v>752</v>
      </c>
      <c r="B33" s="527" t="s">
        <v>746</v>
      </c>
      <c r="C33" s="538"/>
      <c r="D33" s="523"/>
      <c r="E33" s="524"/>
      <c r="F33" s="524"/>
      <c r="G33" s="524"/>
      <c r="H33" s="524"/>
      <c r="I33" s="524"/>
      <c r="J33" s="524"/>
      <c r="K33" s="524"/>
      <c r="L33" s="524"/>
      <c r="M33" s="524"/>
      <c r="N33" s="524"/>
      <c r="O33" s="524"/>
      <c r="P33" s="524"/>
      <c r="Q33" s="524"/>
      <c r="R33" s="524"/>
      <c r="S33" s="518"/>
      <c r="T33" s="570"/>
      <c r="U33" s="549">
        <v>12</v>
      </c>
      <c r="V33" s="524"/>
      <c r="W33" s="524"/>
      <c r="X33" s="524"/>
      <c r="Y33" s="524"/>
      <c r="Z33" s="524"/>
      <c r="AA33" s="524"/>
      <c r="AB33" s="524"/>
      <c r="AC33" s="524"/>
      <c r="AD33" s="524"/>
      <c r="AE33" s="524"/>
      <c r="AF33" s="524"/>
      <c r="AG33" s="524"/>
      <c r="AH33" s="524"/>
      <c r="AI33" s="524"/>
      <c r="AJ33" s="526">
        <f t="shared" si="1"/>
        <v>12</v>
      </c>
    </row>
    <row r="34" spans="1:36" ht="17.25" customHeight="1" x14ac:dyDescent="0.25">
      <c r="A34" s="520" t="s">
        <v>753</v>
      </c>
      <c r="B34" s="527" t="s">
        <v>747</v>
      </c>
      <c r="C34" s="538"/>
      <c r="D34" s="523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18"/>
      <c r="T34" s="570"/>
      <c r="U34" s="549">
        <v>12</v>
      </c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524"/>
      <c r="AI34" s="524"/>
      <c r="AJ34" s="526">
        <f t="shared" si="1"/>
        <v>12</v>
      </c>
    </row>
    <row r="35" spans="1:36" x14ac:dyDescent="0.25">
      <c r="A35" s="520" t="s">
        <v>754</v>
      </c>
      <c r="B35" s="527" t="s">
        <v>748</v>
      </c>
      <c r="C35" s="538"/>
      <c r="D35" s="523"/>
      <c r="E35" s="524"/>
      <c r="F35" s="524"/>
      <c r="G35" s="524"/>
      <c r="H35" s="524"/>
      <c r="I35" s="524"/>
      <c r="J35" s="524"/>
      <c r="K35" s="524"/>
      <c r="L35" s="524"/>
      <c r="M35" s="524"/>
      <c r="N35" s="524"/>
      <c r="O35" s="524"/>
      <c r="P35" s="524"/>
      <c r="Q35" s="524"/>
      <c r="R35" s="524"/>
      <c r="S35" s="518"/>
      <c r="T35" s="570"/>
      <c r="U35" s="549">
        <v>12</v>
      </c>
      <c r="V35" s="524"/>
      <c r="W35" s="524"/>
      <c r="X35" s="524"/>
      <c r="Y35" s="524"/>
      <c r="Z35" s="524"/>
      <c r="AA35" s="524"/>
      <c r="AB35" s="524"/>
      <c r="AC35" s="524"/>
      <c r="AD35" s="524"/>
      <c r="AE35" s="524"/>
      <c r="AF35" s="524"/>
      <c r="AG35" s="524"/>
      <c r="AH35" s="524"/>
      <c r="AI35" s="524"/>
      <c r="AJ35" s="526">
        <f t="shared" si="1"/>
        <v>12</v>
      </c>
    </row>
    <row r="36" spans="1:36" x14ac:dyDescent="0.25">
      <c r="A36" s="520" t="s">
        <v>755</v>
      </c>
      <c r="B36" s="527" t="s">
        <v>749</v>
      </c>
      <c r="C36" s="538"/>
      <c r="D36" s="523"/>
      <c r="E36" s="524"/>
      <c r="F36" s="524"/>
      <c r="G36" s="524"/>
      <c r="H36" s="524"/>
      <c r="I36" s="524"/>
      <c r="J36" s="524"/>
      <c r="K36" s="524"/>
      <c r="L36" s="524"/>
      <c r="M36" s="524"/>
      <c r="N36" s="524"/>
      <c r="O36" s="524"/>
      <c r="P36" s="524"/>
      <c r="Q36" s="524"/>
      <c r="R36" s="524"/>
      <c r="S36" s="518"/>
      <c r="T36" s="570"/>
      <c r="U36" s="549">
        <v>12</v>
      </c>
      <c r="V36" s="524"/>
      <c r="W36" s="524"/>
      <c r="X36" s="524"/>
      <c r="Y36" s="524"/>
      <c r="Z36" s="524"/>
      <c r="AA36" s="524"/>
      <c r="AB36" s="524"/>
      <c r="AC36" s="524"/>
      <c r="AD36" s="524"/>
      <c r="AE36" s="524"/>
      <c r="AF36" s="524"/>
      <c r="AG36" s="524"/>
      <c r="AH36" s="524"/>
      <c r="AI36" s="524"/>
      <c r="AJ36" s="526">
        <f t="shared" si="1"/>
        <v>12</v>
      </c>
    </row>
    <row r="37" spans="1:36" ht="15.6" x14ac:dyDescent="0.25">
      <c r="A37" s="520" t="s">
        <v>756</v>
      </c>
      <c r="B37" s="527" t="s">
        <v>750</v>
      </c>
      <c r="C37" s="538"/>
      <c r="D37" s="523"/>
      <c r="E37" s="524"/>
      <c r="F37" s="524"/>
      <c r="G37" s="524"/>
      <c r="H37" s="524"/>
      <c r="I37" s="524"/>
      <c r="J37" s="524"/>
      <c r="K37" s="524"/>
      <c r="L37" s="524"/>
      <c r="M37" s="524"/>
      <c r="N37" s="524"/>
      <c r="O37" s="524"/>
      <c r="P37" s="524"/>
      <c r="Q37" s="524"/>
      <c r="R37" s="524"/>
      <c r="S37" s="518"/>
      <c r="T37" s="570"/>
      <c r="U37" s="549">
        <v>12</v>
      </c>
      <c r="V37" s="524"/>
      <c r="W37" s="524"/>
      <c r="X37" s="524"/>
      <c r="Y37" s="524"/>
      <c r="Z37" s="524"/>
      <c r="AA37" s="524"/>
      <c r="AB37" s="524"/>
      <c r="AC37" s="524"/>
      <c r="AD37" s="524"/>
      <c r="AE37" s="524"/>
      <c r="AF37" s="524"/>
      <c r="AG37" s="524"/>
      <c r="AH37" s="524"/>
      <c r="AI37" s="524"/>
      <c r="AJ37" s="526">
        <f t="shared" si="1"/>
        <v>12</v>
      </c>
    </row>
    <row r="38" spans="1:36" x14ac:dyDescent="0.25">
      <c r="A38" s="520" t="s">
        <v>757</v>
      </c>
      <c r="B38" s="527" t="s">
        <v>751</v>
      </c>
      <c r="C38" s="538"/>
      <c r="D38" s="523"/>
      <c r="E38" s="524"/>
      <c r="F38" s="524"/>
      <c r="G38" s="524"/>
      <c r="H38" s="524"/>
      <c r="I38" s="524"/>
      <c r="J38" s="524"/>
      <c r="K38" s="524"/>
      <c r="L38" s="524"/>
      <c r="M38" s="524"/>
      <c r="N38" s="524"/>
      <c r="O38" s="524"/>
      <c r="P38" s="524"/>
      <c r="Q38" s="524"/>
      <c r="R38" s="524"/>
      <c r="S38" s="518"/>
      <c r="T38" s="570"/>
      <c r="U38" s="549">
        <v>12</v>
      </c>
      <c r="V38" s="524"/>
      <c r="W38" s="524"/>
      <c r="X38" s="524"/>
      <c r="Y38" s="524"/>
      <c r="Z38" s="524"/>
      <c r="AA38" s="524"/>
      <c r="AB38" s="524"/>
      <c r="AC38" s="524"/>
      <c r="AD38" s="524"/>
      <c r="AE38" s="524"/>
      <c r="AF38" s="524"/>
      <c r="AG38" s="524"/>
      <c r="AH38" s="524"/>
      <c r="AI38" s="524"/>
      <c r="AJ38" s="526">
        <f t="shared" si="1"/>
        <v>12</v>
      </c>
    </row>
    <row r="39" spans="1:36" x14ac:dyDescent="0.25">
      <c r="A39" s="550" t="s">
        <v>578</v>
      </c>
      <c r="B39" s="535" t="s">
        <v>579</v>
      </c>
      <c r="C39" s="543"/>
      <c r="D39" s="531"/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531"/>
      <c r="P39" s="531"/>
      <c r="Q39" s="531"/>
      <c r="R39" s="531"/>
      <c r="S39" s="531"/>
      <c r="T39" s="572"/>
      <c r="U39" s="531"/>
      <c r="V39" s="517">
        <f>SUM(V40:V43)</f>
        <v>216</v>
      </c>
      <c r="W39" s="518"/>
      <c r="X39" s="518"/>
      <c r="Y39" s="518"/>
      <c r="Z39" s="518"/>
      <c r="AA39" s="518"/>
      <c r="AB39" s="518"/>
      <c r="AC39" s="518"/>
      <c r="AD39" s="518"/>
      <c r="AE39" s="518"/>
      <c r="AF39" s="518"/>
      <c r="AG39" s="518"/>
      <c r="AH39" s="518"/>
      <c r="AI39" s="518"/>
      <c r="AJ39" s="519">
        <f t="shared" si="1"/>
        <v>216</v>
      </c>
    </row>
    <row r="40" spans="1:36" ht="15.75" customHeight="1" x14ac:dyDescent="0.25">
      <c r="A40" s="520" t="s">
        <v>758</v>
      </c>
      <c r="B40" s="527" t="s">
        <v>762</v>
      </c>
      <c r="C40" s="538"/>
      <c r="D40" s="523"/>
      <c r="E40" s="524"/>
      <c r="F40" s="524"/>
      <c r="G40" s="524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18"/>
      <c r="T40" s="570"/>
      <c r="U40" s="524"/>
      <c r="V40" s="549">
        <v>60</v>
      </c>
      <c r="W40" s="524"/>
      <c r="X40" s="524"/>
      <c r="Y40" s="524"/>
      <c r="Z40" s="524"/>
      <c r="AA40" s="524"/>
      <c r="AB40" s="524"/>
      <c r="AC40" s="524"/>
      <c r="AD40" s="524"/>
      <c r="AE40" s="524"/>
      <c r="AF40" s="524"/>
      <c r="AG40" s="524"/>
      <c r="AH40" s="524"/>
      <c r="AI40" s="524"/>
      <c r="AJ40" s="526">
        <f t="shared" si="1"/>
        <v>60</v>
      </c>
    </row>
    <row r="41" spans="1:36" x14ac:dyDescent="0.25">
      <c r="A41" s="520" t="s">
        <v>759</v>
      </c>
      <c r="B41" s="527" t="s">
        <v>763</v>
      </c>
      <c r="C41" s="538"/>
      <c r="D41" s="523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524"/>
      <c r="P41" s="524"/>
      <c r="Q41" s="524"/>
      <c r="R41" s="524"/>
      <c r="S41" s="518"/>
      <c r="T41" s="570"/>
      <c r="U41" s="524"/>
      <c r="V41" s="549">
        <v>60</v>
      </c>
      <c r="W41" s="524"/>
      <c r="X41" s="524"/>
      <c r="Y41" s="524"/>
      <c r="Z41" s="524"/>
      <c r="AA41" s="524"/>
      <c r="AB41" s="524"/>
      <c r="AC41" s="524"/>
      <c r="AD41" s="524"/>
      <c r="AE41" s="524"/>
      <c r="AF41" s="524"/>
      <c r="AG41" s="524"/>
      <c r="AH41" s="524"/>
      <c r="AI41" s="524"/>
      <c r="AJ41" s="526">
        <f t="shared" si="1"/>
        <v>60</v>
      </c>
    </row>
    <row r="42" spans="1:36" x14ac:dyDescent="0.25">
      <c r="A42" s="520" t="s">
        <v>760</v>
      </c>
      <c r="B42" s="527" t="s">
        <v>764</v>
      </c>
      <c r="C42" s="538"/>
      <c r="D42" s="523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18"/>
      <c r="T42" s="570"/>
      <c r="U42" s="524"/>
      <c r="V42" s="549">
        <v>60</v>
      </c>
      <c r="W42" s="524"/>
      <c r="X42" s="524"/>
      <c r="Y42" s="524"/>
      <c r="Z42" s="524"/>
      <c r="AA42" s="524"/>
      <c r="AB42" s="524"/>
      <c r="AC42" s="524"/>
      <c r="AD42" s="524"/>
      <c r="AE42" s="524"/>
      <c r="AF42" s="524"/>
      <c r="AG42" s="524"/>
      <c r="AH42" s="524"/>
      <c r="AI42" s="524"/>
      <c r="AJ42" s="526">
        <f t="shared" si="1"/>
        <v>60</v>
      </c>
    </row>
    <row r="43" spans="1:36" x14ac:dyDescent="0.25">
      <c r="A43" s="520" t="s">
        <v>761</v>
      </c>
      <c r="B43" s="527" t="s">
        <v>765</v>
      </c>
      <c r="C43" s="538"/>
      <c r="D43" s="523"/>
      <c r="E43" s="524"/>
      <c r="F43" s="524"/>
      <c r="G43" s="524"/>
      <c r="H43" s="524"/>
      <c r="I43" s="524"/>
      <c r="J43" s="524"/>
      <c r="K43" s="524"/>
      <c r="L43" s="524"/>
      <c r="M43" s="524"/>
      <c r="N43" s="524"/>
      <c r="O43" s="524"/>
      <c r="P43" s="524"/>
      <c r="Q43" s="524"/>
      <c r="R43" s="524"/>
      <c r="S43" s="518"/>
      <c r="T43" s="570"/>
      <c r="U43" s="524"/>
      <c r="V43" s="549">
        <v>36</v>
      </c>
      <c r="W43" s="524"/>
      <c r="X43" s="524"/>
      <c r="Y43" s="524"/>
      <c r="Z43" s="524"/>
      <c r="AA43" s="524"/>
      <c r="AB43" s="524"/>
      <c r="AC43" s="524"/>
      <c r="AD43" s="524"/>
      <c r="AE43" s="524"/>
      <c r="AF43" s="524"/>
      <c r="AG43" s="524"/>
      <c r="AH43" s="524"/>
      <c r="AI43" s="524"/>
      <c r="AJ43" s="526">
        <f t="shared" si="1"/>
        <v>36</v>
      </c>
    </row>
    <row r="44" spans="1:36" x14ac:dyDescent="0.25">
      <c r="A44" s="515" t="s">
        <v>583</v>
      </c>
      <c r="B44" s="535" t="s">
        <v>584</v>
      </c>
      <c r="C44" s="551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73"/>
      <c r="U44" s="552"/>
      <c r="V44" s="552"/>
      <c r="W44" s="517">
        <f>SUM(W45:W48)</f>
        <v>36</v>
      </c>
      <c r="X44" s="517">
        <f t="shared" ref="X44:AA44" si="5">SUM(X45:X48)</f>
        <v>48</v>
      </c>
      <c r="Y44" s="517">
        <f t="shared" si="5"/>
        <v>36</v>
      </c>
      <c r="Z44" s="517">
        <f t="shared" si="5"/>
        <v>60</v>
      </c>
      <c r="AA44" s="517">
        <f t="shared" si="5"/>
        <v>36</v>
      </c>
      <c r="AB44" s="518"/>
      <c r="AC44" s="518"/>
      <c r="AD44" s="518"/>
      <c r="AE44" s="518"/>
      <c r="AF44" s="518"/>
      <c r="AG44" s="518"/>
      <c r="AH44" s="518"/>
      <c r="AI44" s="518"/>
      <c r="AJ44" s="519">
        <f t="shared" si="1"/>
        <v>216</v>
      </c>
    </row>
    <row r="45" spans="1:36" ht="15.75" customHeight="1" x14ac:dyDescent="0.25">
      <c r="A45" s="520" t="s">
        <v>766</v>
      </c>
      <c r="B45" s="527" t="s">
        <v>770</v>
      </c>
      <c r="C45" s="538"/>
      <c r="D45" s="523"/>
      <c r="E45" s="524"/>
      <c r="F45" s="524"/>
      <c r="G45" s="524"/>
      <c r="H45" s="524"/>
      <c r="I45" s="524"/>
      <c r="J45" s="524"/>
      <c r="K45" s="524"/>
      <c r="L45" s="524"/>
      <c r="M45" s="524"/>
      <c r="N45" s="524"/>
      <c r="O45" s="524"/>
      <c r="P45" s="524"/>
      <c r="Q45" s="524"/>
      <c r="R45" s="524"/>
      <c r="S45" s="518"/>
      <c r="T45" s="570"/>
      <c r="U45" s="524"/>
      <c r="V45" s="553"/>
      <c r="W45" s="524">
        <v>18</v>
      </c>
      <c r="X45" s="524">
        <v>18</v>
      </c>
      <c r="Y45" s="524">
        <v>6</v>
      </c>
      <c r="Z45" s="524">
        <v>18</v>
      </c>
      <c r="AA45" s="524"/>
      <c r="AB45" s="524"/>
      <c r="AC45" s="524"/>
      <c r="AD45" s="524"/>
      <c r="AE45" s="524"/>
      <c r="AF45" s="524"/>
      <c r="AG45" s="524"/>
      <c r="AH45" s="524"/>
      <c r="AI45" s="524"/>
      <c r="AJ45" s="526">
        <f t="shared" si="1"/>
        <v>60</v>
      </c>
    </row>
    <row r="46" spans="1:36" x14ac:dyDescent="0.25">
      <c r="A46" s="520" t="s">
        <v>767</v>
      </c>
      <c r="B46" s="527" t="s">
        <v>771</v>
      </c>
      <c r="C46" s="538"/>
      <c r="D46" s="523"/>
      <c r="E46" s="524"/>
      <c r="F46" s="524"/>
      <c r="G46" s="524"/>
      <c r="H46" s="524"/>
      <c r="I46" s="524"/>
      <c r="J46" s="524"/>
      <c r="K46" s="524"/>
      <c r="L46" s="524"/>
      <c r="M46" s="524"/>
      <c r="N46" s="524"/>
      <c r="O46" s="524"/>
      <c r="P46" s="524"/>
      <c r="Q46" s="524"/>
      <c r="R46" s="524"/>
      <c r="S46" s="518"/>
      <c r="T46" s="570"/>
      <c r="U46" s="524"/>
      <c r="V46" s="554"/>
      <c r="W46" s="524">
        <v>18</v>
      </c>
      <c r="X46" s="524">
        <v>18</v>
      </c>
      <c r="Y46" s="524">
        <v>6</v>
      </c>
      <c r="Z46" s="524">
        <v>12</v>
      </c>
      <c r="AA46" s="524">
        <v>6</v>
      </c>
      <c r="AB46" s="524"/>
      <c r="AC46" s="524"/>
      <c r="AD46" s="524"/>
      <c r="AE46" s="524"/>
      <c r="AF46" s="524"/>
      <c r="AG46" s="524"/>
      <c r="AH46" s="524"/>
      <c r="AI46" s="524"/>
      <c r="AJ46" s="526">
        <f t="shared" si="1"/>
        <v>60</v>
      </c>
    </row>
    <row r="47" spans="1:36" x14ac:dyDescent="0.25">
      <c r="A47" s="520" t="s">
        <v>768</v>
      </c>
      <c r="B47" s="527" t="s">
        <v>772</v>
      </c>
      <c r="C47" s="538"/>
      <c r="D47" s="523"/>
      <c r="E47" s="524"/>
      <c r="F47" s="524"/>
      <c r="G47" s="524"/>
      <c r="H47" s="524"/>
      <c r="I47" s="524"/>
      <c r="J47" s="524"/>
      <c r="K47" s="524"/>
      <c r="L47" s="524"/>
      <c r="M47" s="524"/>
      <c r="N47" s="524"/>
      <c r="O47" s="524"/>
      <c r="P47" s="524"/>
      <c r="Q47" s="524"/>
      <c r="R47" s="524"/>
      <c r="S47" s="518"/>
      <c r="T47" s="570"/>
      <c r="U47" s="524"/>
      <c r="V47" s="554"/>
      <c r="W47" s="524"/>
      <c r="X47" s="524">
        <v>12</v>
      </c>
      <c r="Y47" s="524">
        <v>12</v>
      </c>
      <c r="Z47" s="524">
        <v>18</v>
      </c>
      <c r="AA47" s="524">
        <v>18</v>
      </c>
      <c r="AB47" s="524"/>
      <c r="AC47" s="524"/>
      <c r="AD47" s="524"/>
      <c r="AE47" s="524"/>
      <c r="AF47" s="524"/>
      <c r="AG47" s="524"/>
      <c r="AH47" s="524"/>
      <c r="AI47" s="524"/>
      <c r="AJ47" s="526">
        <f t="shared" si="1"/>
        <v>60</v>
      </c>
    </row>
    <row r="48" spans="1:36" ht="15.6" x14ac:dyDescent="0.25">
      <c r="A48" s="520" t="s">
        <v>769</v>
      </c>
      <c r="B48" s="527" t="s">
        <v>773</v>
      </c>
      <c r="C48" s="538"/>
      <c r="D48" s="523"/>
      <c r="E48" s="524"/>
      <c r="F48" s="524"/>
      <c r="G48" s="524"/>
      <c r="H48" s="524"/>
      <c r="I48" s="524"/>
      <c r="J48" s="524"/>
      <c r="K48" s="524"/>
      <c r="L48" s="524"/>
      <c r="M48" s="524"/>
      <c r="N48" s="524"/>
      <c r="O48" s="524"/>
      <c r="P48" s="524"/>
      <c r="Q48" s="524"/>
      <c r="R48" s="524"/>
      <c r="S48" s="518"/>
      <c r="T48" s="570"/>
      <c r="U48" s="524"/>
      <c r="V48" s="554"/>
      <c r="W48" s="524"/>
      <c r="X48" s="524"/>
      <c r="Y48" s="524">
        <v>12</v>
      </c>
      <c r="Z48" s="524">
        <v>12</v>
      </c>
      <c r="AA48" s="524">
        <v>12</v>
      </c>
      <c r="AB48" s="524"/>
      <c r="AC48" s="524"/>
      <c r="AD48" s="524"/>
      <c r="AE48" s="524"/>
      <c r="AF48" s="524"/>
      <c r="AG48" s="524"/>
      <c r="AH48" s="524"/>
      <c r="AI48" s="524"/>
      <c r="AJ48" s="526">
        <f t="shared" si="1"/>
        <v>36</v>
      </c>
    </row>
    <row r="49" spans="1:36" x14ac:dyDescent="0.25">
      <c r="A49" s="550" t="s">
        <v>599</v>
      </c>
      <c r="B49" s="535" t="s">
        <v>600</v>
      </c>
      <c r="C49" s="551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552"/>
      <c r="S49" s="552"/>
      <c r="T49" s="573"/>
      <c r="U49" s="552"/>
      <c r="V49" s="552"/>
      <c r="W49" s="552"/>
      <c r="X49" s="552"/>
      <c r="Y49" s="552"/>
      <c r="Z49" s="552"/>
      <c r="AA49" s="552"/>
      <c r="AB49" s="517">
        <f t="shared" ref="AB49" si="6">SUM(AB50:AB53)</f>
        <v>108</v>
      </c>
      <c r="AC49" s="517">
        <f t="shared" ref="AC49" si="7">SUM(AC50:AC53)</f>
        <v>48</v>
      </c>
      <c r="AD49" s="517">
        <f t="shared" ref="AD49" si="8">SUM(AD50:AD53)</f>
        <v>216</v>
      </c>
      <c r="AE49" s="518"/>
      <c r="AF49" s="518"/>
      <c r="AG49" s="518"/>
      <c r="AH49" s="518"/>
      <c r="AI49" s="518"/>
      <c r="AJ49" s="519">
        <f t="shared" si="1"/>
        <v>372</v>
      </c>
    </row>
    <row r="50" spans="1:36" ht="15.6" x14ac:dyDescent="0.25">
      <c r="A50" s="520" t="s">
        <v>774</v>
      </c>
      <c r="B50" s="555" t="s">
        <v>778</v>
      </c>
      <c r="C50" s="538"/>
      <c r="D50" s="523"/>
      <c r="E50" s="524"/>
      <c r="F50" s="524"/>
      <c r="G50" s="524"/>
      <c r="H50" s="524"/>
      <c r="I50" s="524"/>
      <c r="J50" s="524"/>
      <c r="K50" s="524"/>
      <c r="L50" s="524"/>
      <c r="M50" s="524"/>
      <c r="N50" s="524"/>
      <c r="O50" s="524"/>
      <c r="P50" s="524"/>
      <c r="Q50" s="524"/>
      <c r="R50" s="524"/>
      <c r="S50" s="518"/>
      <c r="T50" s="570"/>
      <c r="U50" s="524"/>
      <c r="V50" s="524"/>
      <c r="W50" s="524"/>
      <c r="X50" s="524"/>
      <c r="Y50" s="524"/>
      <c r="Z50" s="524"/>
      <c r="AA50" s="556"/>
      <c r="AB50" s="524">
        <v>48</v>
      </c>
      <c r="AC50" s="524"/>
      <c r="AD50" s="524"/>
      <c r="AE50" s="524"/>
      <c r="AF50" s="524"/>
      <c r="AG50" s="524"/>
      <c r="AH50" s="524"/>
      <c r="AI50" s="524"/>
      <c r="AJ50" s="526">
        <f t="shared" si="1"/>
        <v>48</v>
      </c>
    </row>
    <row r="51" spans="1:36" x14ac:dyDescent="0.25">
      <c r="A51" s="520" t="s">
        <v>775</v>
      </c>
      <c r="B51" s="557" t="s">
        <v>743</v>
      </c>
      <c r="C51" s="538"/>
      <c r="D51" s="523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O51" s="524"/>
      <c r="P51" s="524"/>
      <c r="Q51" s="524"/>
      <c r="R51" s="524"/>
      <c r="S51" s="518"/>
      <c r="T51" s="570"/>
      <c r="U51" s="524"/>
      <c r="V51" s="524"/>
      <c r="W51" s="524"/>
      <c r="X51" s="524"/>
      <c r="Y51" s="524"/>
      <c r="Z51" s="524"/>
      <c r="AA51" s="556"/>
      <c r="AB51" s="524"/>
      <c r="AC51" s="524">
        <v>48</v>
      </c>
      <c r="AD51" s="524"/>
      <c r="AE51" s="524"/>
      <c r="AF51" s="524"/>
      <c r="AG51" s="524"/>
      <c r="AH51" s="524"/>
      <c r="AI51" s="524"/>
      <c r="AJ51" s="526">
        <f t="shared" si="1"/>
        <v>48</v>
      </c>
    </row>
    <row r="52" spans="1:36" x14ac:dyDescent="0.25">
      <c r="A52" s="520" t="s">
        <v>776</v>
      </c>
      <c r="B52" s="557" t="s">
        <v>779</v>
      </c>
      <c r="C52" s="538"/>
      <c r="D52" s="523"/>
      <c r="E52" s="524"/>
      <c r="F52" s="524"/>
      <c r="G52" s="524"/>
      <c r="H52" s="524"/>
      <c r="I52" s="524"/>
      <c r="J52" s="524"/>
      <c r="K52" s="524"/>
      <c r="L52" s="524"/>
      <c r="M52" s="524"/>
      <c r="N52" s="524"/>
      <c r="O52" s="524"/>
      <c r="P52" s="524"/>
      <c r="Q52" s="524"/>
      <c r="R52" s="524"/>
      <c r="S52" s="518"/>
      <c r="T52" s="570"/>
      <c r="U52" s="524"/>
      <c r="V52" s="524"/>
      <c r="W52" s="524"/>
      <c r="X52" s="524"/>
      <c r="Y52" s="524"/>
      <c r="Z52" s="524"/>
      <c r="AA52" s="556"/>
      <c r="AB52" s="524">
        <v>60</v>
      </c>
      <c r="AC52" s="524"/>
      <c r="AD52" s="524"/>
      <c r="AE52" s="524"/>
      <c r="AF52" s="524"/>
      <c r="AG52" s="524"/>
      <c r="AH52" s="524"/>
      <c r="AI52" s="524"/>
      <c r="AJ52" s="526">
        <f t="shared" si="1"/>
        <v>60</v>
      </c>
    </row>
    <row r="53" spans="1:36" ht="15.6" x14ac:dyDescent="0.25">
      <c r="A53" s="520" t="s">
        <v>777</v>
      </c>
      <c r="B53" s="558" t="s">
        <v>780</v>
      </c>
      <c r="C53" s="538"/>
      <c r="D53" s="523"/>
      <c r="E53" s="524"/>
      <c r="F53" s="524"/>
      <c r="G53" s="524"/>
      <c r="H53" s="524"/>
      <c r="I53" s="524"/>
      <c r="J53" s="524"/>
      <c r="K53" s="524"/>
      <c r="L53" s="524"/>
      <c r="M53" s="524"/>
      <c r="N53" s="524"/>
      <c r="O53" s="524"/>
      <c r="P53" s="524"/>
      <c r="Q53" s="524"/>
      <c r="R53" s="524"/>
      <c r="S53" s="518"/>
      <c r="T53" s="570"/>
      <c r="U53" s="524"/>
      <c r="V53" s="524"/>
      <c r="W53" s="524"/>
      <c r="X53" s="524"/>
      <c r="Y53" s="524"/>
      <c r="Z53" s="524"/>
      <c r="AA53" s="559"/>
      <c r="AB53" s="524"/>
      <c r="AC53" s="524"/>
      <c r="AD53" s="524">
        <v>216</v>
      </c>
      <c r="AE53" s="524"/>
      <c r="AF53" s="524"/>
      <c r="AG53" s="524"/>
      <c r="AH53" s="524"/>
      <c r="AI53" s="524"/>
      <c r="AJ53" s="526">
        <f t="shared" si="1"/>
        <v>216</v>
      </c>
    </row>
    <row r="54" spans="1:36" x14ac:dyDescent="0.25">
      <c r="A54" s="515" t="s">
        <v>608</v>
      </c>
      <c r="B54" s="516" t="s">
        <v>609</v>
      </c>
      <c r="C54" s="551"/>
      <c r="D54" s="552"/>
      <c r="E54" s="552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552"/>
      <c r="R54" s="552"/>
      <c r="S54" s="552"/>
      <c r="T54" s="573"/>
      <c r="U54" s="552"/>
      <c r="V54" s="552"/>
      <c r="W54" s="552"/>
      <c r="X54" s="552"/>
      <c r="Y54" s="552"/>
      <c r="Z54" s="552"/>
      <c r="AA54" s="552"/>
      <c r="AB54" s="552"/>
      <c r="AC54" s="552"/>
      <c r="AD54" s="552"/>
      <c r="AE54" s="517">
        <f>SUM(AE55:AE59)</f>
        <v>132</v>
      </c>
      <c r="AF54" s="517">
        <f t="shared" ref="AF54:AI54" si="9">SUM(AF55:AF59)</f>
        <v>48</v>
      </c>
      <c r="AG54" s="517">
        <f t="shared" si="9"/>
        <v>48</v>
      </c>
      <c r="AH54" s="517">
        <f t="shared" si="9"/>
        <v>132</v>
      </c>
      <c r="AI54" s="517">
        <f t="shared" si="9"/>
        <v>144</v>
      </c>
      <c r="AJ54" s="519">
        <f t="shared" si="1"/>
        <v>504</v>
      </c>
    </row>
    <row r="55" spans="1:36" x14ac:dyDescent="0.25">
      <c r="A55" s="520" t="s">
        <v>782</v>
      </c>
      <c r="B55" s="560" t="s">
        <v>787</v>
      </c>
      <c r="C55" s="538"/>
      <c r="D55" s="523"/>
      <c r="E55" s="524"/>
      <c r="F55" s="524"/>
      <c r="G55" s="524"/>
      <c r="H55" s="524"/>
      <c r="I55" s="524"/>
      <c r="J55" s="524"/>
      <c r="K55" s="524"/>
      <c r="L55" s="524"/>
      <c r="M55" s="524"/>
      <c r="N55" s="524"/>
      <c r="O55" s="524"/>
      <c r="P55" s="524"/>
      <c r="Q55" s="524"/>
      <c r="R55" s="524"/>
      <c r="S55" s="518"/>
      <c r="T55" s="570"/>
      <c r="U55" s="524"/>
      <c r="V55" s="524"/>
      <c r="W55" s="524"/>
      <c r="X55" s="524"/>
      <c r="Y55" s="524"/>
      <c r="Z55" s="524"/>
      <c r="AA55" s="524"/>
      <c r="AB55" s="524"/>
      <c r="AC55" s="525"/>
      <c r="AD55" s="524"/>
      <c r="AE55" s="524">
        <v>44</v>
      </c>
      <c r="AF55" s="524"/>
      <c r="AG55" s="524"/>
      <c r="AH55" s="524">
        <v>44</v>
      </c>
      <c r="AI55" s="524">
        <v>44</v>
      </c>
      <c r="AJ55" s="526">
        <f t="shared" si="1"/>
        <v>132</v>
      </c>
    </row>
    <row r="56" spans="1:36" x14ac:dyDescent="0.25">
      <c r="A56" s="520" t="s">
        <v>783</v>
      </c>
      <c r="B56" s="560" t="s">
        <v>788</v>
      </c>
      <c r="C56" s="538"/>
      <c r="D56" s="523"/>
      <c r="E56" s="524"/>
      <c r="F56" s="524"/>
      <c r="G56" s="524"/>
      <c r="H56" s="524"/>
      <c r="I56" s="524"/>
      <c r="J56" s="524"/>
      <c r="K56" s="524"/>
      <c r="L56" s="524"/>
      <c r="M56" s="524"/>
      <c r="N56" s="524"/>
      <c r="O56" s="524"/>
      <c r="P56" s="524"/>
      <c r="Q56" s="524"/>
      <c r="R56" s="524"/>
      <c r="S56" s="518"/>
      <c r="T56" s="570"/>
      <c r="U56" s="524"/>
      <c r="V56" s="524"/>
      <c r="W56" s="524"/>
      <c r="X56" s="524"/>
      <c r="Y56" s="524"/>
      <c r="Z56" s="524"/>
      <c r="AA56" s="524"/>
      <c r="AB56" s="524"/>
      <c r="AC56" s="545"/>
      <c r="AD56" s="524"/>
      <c r="AE56" s="524">
        <v>20</v>
      </c>
      <c r="AF56" s="524">
        <v>12</v>
      </c>
      <c r="AG56" s="524"/>
      <c r="AH56" s="524">
        <v>16</v>
      </c>
      <c r="AI56" s="524"/>
      <c r="AJ56" s="526">
        <f t="shared" si="1"/>
        <v>48</v>
      </c>
    </row>
    <row r="57" spans="1:36" x14ac:dyDescent="0.25">
      <c r="A57" s="520" t="s">
        <v>784</v>
      </c>
      <c r="B57" s="560" t="s">
        <v>789</v>
      </c>
      <c r="C57" s="538"/>
      <c r="D57" s="523"/>
      <c r="E57" s="524"/>
      <c r="F57" s="524"/>
      <c r="G57" s="524"/>
      <c r="H57" s="524"/>
      <c r="I57" s="524"/>
      <c r="J57" s="524"/>
      <c r="K57" s="524"/>
      <c r="L57" s="524"/>
      <c r="M57" s="524"/>
      <c r="N57" s="524"/>
      <c r="O57" s="524"/>
      <c r="P57" s="524"/>
      <c r="Q57" s="524"/>
      <c r="R57" s="524"/>
      <c r="S57" s="518"/>
      <c r="T57" s="570"/>
      <c r="U57" s="524"/>
      <c r="V57" s="524"/>
      <c r="W57" s="524"/>
      <c r="X57" s="524"/>
      <c r="Y57" s="524"/>
      <c r="Z57" s="524"/>
      <c r="AA57" s="524"/>
      <c r="AB57" s="524"/>
      <c r="AC57" s="545"/>
      <c r="AD57" s="524"/>
      <c r="AE57" s="524">
        <v>20</v>
      </c>
      <c r="AF57" s="524">
        <v>12</v>
      </c>
      <c r="AG57" s="524"/>
      <c r="AH57" s="524">
        <v>16</v>
      </c>
      <c r="AI57" s="524"/>
      <c r="AJ57" s="526">
        <f t="shared" si="1"/>
        <v>48</v>
      </c>
    </row>
    <row r="58" spans="1:36" ht="18" customHeight="1" x14ac:dyDescent="0.25">
      <c r="A58" s="520" t="s">
        <v>785</v>
      </c>
      <c r="B58" s="560" t="s">
        <v>790</v>
      </c>
      <c r="C58" s="538"/>
      <c r="D58" s="523"/>
      <c r="E58" s="524"/>
      <c r="F58" s="524"/>
      <c r="G58" s="524"/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18"/>
      <c r="T58" s="570"/>
      <c r="U58" s="524"/>
      <c r="V58" s="524"/>
      <c r="W58" s="524"/>
      <c r="X58" s="524"/>
      <c r="Y58" s="524"/>
      <c r="Z58" s="524"/>
      <c r="AA58" s="524"/>
      <c r="AB58" s="524"/>
      <c r="AC58" s="525"/>
      <c r="AD58" s="524"/>
      <c r="AE58" s="524">
        <v>20</v>
      </c>
      <c r="AF58" s="524">
        <v>12</v>
      </c>
      <c r="AG58" s="524"/>
      <c r="AH58" s="524">
        <v>40</v>
      </c>
      <c r="AI58" s="524">
        <v>60</v>
      </c>
      <c r="AJ58" s="526">
        <f t="shared" si="1"/>
        <v>132</v>
      </c>
    </row>
    <row r="59" spans="1:36" x14ac:dyDescent="0.25">
      <c r="A59" s="520" t="s">
        <v>786</v>
      </c>
      <c r="B59" s="560" t="s">
        <v>791</v>
      </c>
      <c r="C59" s="538"/>
      <c r="D59" s="523"/>
      <c r="E59" s="524"/>
      <c r="F59" s="524"/>
      <c r="G59" s="524"/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18"/>
      <c r="T59" s="570"/>
      <c r="U59" s="524"/>
      <c r="V59" s="524"/>
      <c r="W59" s="524"/>
      <c r="X59" s="524"/>
      <c r="Y59" s="524"/>
      <c r="Z59" s="524"/>
      <c r="AA59" s="524"/>
      <c r="AB59" s="524"/>
      <c r="AC59" s="561"/>
      <c r="AD59" s="524"/>
      <c r="AE59" s="524">
        <v>28</v>
      </c>
      <c r="AF59" s="524">
        <v>12</v>
      </c>
      <c r="AG59" s="524">
        <v>48</v>
      </c>
      <c r="AH59" s="524">
        <v>16</v>
      </c>
      <c r="AI59" s="524">
        <v>40</v>
      </c>
      <c r="AJ59" s="526">
        <f t="shared" si="1"/>
        <v>144</v>
      </c>
    </row>
    <row r="60" spans="1:36" s="565" customFormat="1" ht="7.8" x14ac:dyDescent="0.15">
      <c r="A60" s="562"/>
      <c r="B60" s="562" t="s">
        <v>807</v>
      </c>
      <c r="C60" s="563">
        <f>SUM(C4)</f>
        <v>36</v>
      </c>
      <c r="D60" s="563">
        <f t="shared" ref="D60:E60" si="10">SUM(D4)</f>
        <v>144</v>
      </c>
      <c r="E60" s="563">
        <f t="shared" si="10"/>
        <v>96</v>
      </c>
      <c r="F60" s="563">
        <f>SUM(F8)</f>
        <v>144</v>
      </c>
      <c r="G60" s="563">
        <f t="shared" ref="G60:H60" si="11">SUM(G8)</f>
        <v>240</v>
      </c>
      <c r="H60" s="563">
        <f t="shared" si="11"/>
        <v>36</v>
      </c>
      <c r="I60" s="563">
        <f>SUM(I8)</f>
        <v>48</v>
      </c>
      <c r="J60" s="563">
        <f>SUM(J13)</f>
        <v>108</v>
      </c>
      <c r="K60" s="563">
        <f>SUM(K17)</f>
        <v>60</v>
      </c>
      <c r="L60" s="563">
        <f t="shared" ref="L60:O60" si="12">SUM(L17)</f>
        <v>36</v>
      </c>
      <c r="M60" s="563">
        <f t="shared" si="12"/>
        <v>36</v>
      </c>
      <c r="N60" s="563">
        <f t="shared" si="12"/>
        <v>120</v>
      </c>
      <c r="O60" s="563">
        <f t="shared" si="12"/>
        <v>156</v>
      </c>
      <c r="P60" s="563">
        <f>SUM(P22)</f>
        <v>288</v>
      </c>
      <c r="Q60" s="563">
        <f>SUM(Q22)</f>
        <v>120</v>
      </c>
      <c r="R60" s="563">
        <f>SUM(R27)</f>
        <v>180</v>
      </c>
      <c r="S60" s="563">
        <f t="shared" ref="S60:T60" si="13">SUM(S27)</f>
        <v>36</v>
      </c>
      <c r="T60" s="574">
        <f t="shared" si="13"/>
        <v>36</v>
      </c>
      <c r="U60" s="563">
        <f>SUM(U32)</f>
        <v>72</v>
      </c>
      <c r="V60" s="563">
        <f>SUM(V39)</f>
        <v>216</v>
      </c>
      <c r="W60" s="563">
        <f>SUM(W44)</f>
        <v>36</v>
      </c>
      <c r="X60" s="563">
        <f t="shared" ref="X60:AA60" si="14">SUM(X44)</f>
        <v>48</v>
      </c>
      <c r="Y60" s="563">
        <f t="shared" si="14"/>
        <v>36</v>
      </c>
      <c r="Z60" s="563">
        <f t="shared" si="14"/>
        <v>60</v>
      </c>
      <c r="AA60" s="563">
        <f t="shared" si="14"/>
        <v>36</v>
      </c>
      <c r="AB60" s="563">
        <f>SUM(AB49)</f>
        <v>108</v>
      </c>
      <c r="AC60" s="563">
        <f t="shared" ref="AC60:AD60" si="15">SUM(AC49)</f>
        <v>48</v>
      </c>
      <c r="AD60" s="563">
        <f t="shared" si="15"/>
        <v>216</v>
      </c>
      <c r="AE60" s="563">
        <f>SUM(AE54)</f>
        <v>132</v>
      </c>
      <c r="AF60" s="563">
        <f t="shared" ref="AF60:AI60" si="16">SUM(AF54)</f>
        <v>48</v>
      </c>
      <c r="AG60" s="563">
        <f t="shared" si="16"/>
        <v>48</v>
      </c>
      <c r="AH60" s="563">
        <f t="shared" si="16"/>
        <v>132</v>
      </c>
      <c r="AI60" s="563">
        <f t="shared" si="16"/>
        <v>144</v>
      </c>
      <c r="AJ60" s="564">
        <f>SUM(AJ4,AJ8,AJ13,AJ17,AJ22,AJ27,AJ32,AJ39,AJ44,AJ49,AJ54)</f>
        <v>3300</v>
      </c>
    </row>
    <row r="61" spans="1:36" x14ac:dyDescent="0.25">
      <c r="B61" s="510"/>
    </row>
  </sheetData>
  <mergeCells count="1">
    <mergeCell ref="A1:B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Паспорт</vt:lpstr>
      <vt:lpstr>Перечень компетенций </vt:lpstr>
      <vt:lpstr>Содержание модулей, дисциплин</vt:lpstr>
      <vt:lpstr>Свод таблица</vt:lpstr>
      <vt:lpstr>матрица</vt:lpstr>
      <vt:lpstr>график учебного процесса (2)</vt:lpstr>
      <vt:lpstr>график учебного процесса</vt:lpstr>
      <vt:lpstr>сводные данные</vt:lpstr>
      <vt:lpstr>учебный план</vt:lpstr>
      <vt:lpstr>учебный план РО</vt:lpstr>
      <vt:lpstr>матрица РО БМ</vt:lpstr>
      <vt:lpstr>матрица РО ПМ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almag</dc:creator>
  <cp:lastModifiedBy>Андрей Бубнов</cp:lastModifiedBy>
  <cp:lastPrinted>2025-09-03T08:52:38Z</cp:lastPrinted>
  <dcterms:created xsi:type="dcterms:W3CDTF">2022-03-16T13:26:08Z</dcterms:created>
  <dcterms:modified xsi:type="dcterms:W3CDTF">2026-05-28T05:26:21Z</dcterms:modified>
</cp:coreProperties>
</file>